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Setup" sheetId="2" state="visible" r:id="rId2"/>
    <sheet xmlns:r="http://schemas.openxmlformats.org/officeDocument/2006/relationships" name="Map Guide" sheetId="3" state="visible" r:id="rId3"/>
    <sheet xmlns:r="http://schemas.openxmlformats.org/officeDocument/2006/relationships" name="Map" sheetId="4" state="hidden" r:id="rId4"/>
    <sheet xmlns:r="http://schemas.openxmlformats.org/officeDocument/2006/relationships" name="TB" sheetId="5" state="visible" r:id="rId5"/>
    <sheet xmlns:r="http://schemas.openxmlformats.org/officeDocument/2006/relationships" name="Calc" sheetId="6" state="hidden" r:id="rId6"/>
    <sheet xmlns:r="http://schemas.openxmlformats.org/officeDocument/2006/relationships" name="Borrowings" sheetId="7" state="visible" r:id="rId7"/>
    <sheet xmlns:r="http://schemas.openxmlformats.org/officeDocument/2006/relationships" name="FAR" sheetId="8" state="visible" r:id="rId8"/>
    <sheet xmlns:r="http://schemas.openxmlformats.org/officeDocument/2006/relationships" name="Dep-IT" sheetId="9" state="visible" r:id="rId9"/>
    <sheet xmlns:r="http://schemas.openxmlformats.org/officeDocument/2006/relationships" name="Deferred Tax" sheetId="10" state="visible" r:id="rId10"/>
    <sheet xmlns:r="http://schemas.openxmlformats.org/officeDocument/2006/relationships" name="EPS" sheetId="11" state="visible" r:id="rId11"/>
    <sheet xmlns:r="http://schemas.openxmlformats.org/officeDocument/2006/relationships" name="Checks" sheetId="12" state="visible" r:id="rId12"/>
    <sheet xmlns:r="http://schemas.openxmlformats.org/officeDocument/2006/relationships" name="BS" sheetId="13" state="visible" r:id="rId13"/>
    <sheet xmlns:r="http://schemas.openxmlformats.org/officeDocument/2006/relationships" name="PL" sheetId="14" state="visible" r:id="rId14"/>
    <sheet xmlns:r="http://schemas.openxmlformats.org/officeDocument/2006/relationships" name="CashFlow" sheetId="15" state="visible" r:id="rId15"/>
    <sheet xmlns:r="http://schemas.openxmlformats.org/officeDocument/2006/relationships" name="Policies" sheetId="16" state="visible" r:id="rId16"/>
    <sheet xmlns:r="http://schemas.openxmlformats.org/officeDocument/2006/relationships" name="Shareholding" sheetId="17" state="visible" r:id="rId17"/>
    <sheet xmlns:r="http://schemas.openxmlformats.org/officeDocument/2006/relationships" name="Notes-BS" sheetId="18" state="visible" r:id="rId18"/>
    <sheet xmlns:r="http://schemas.openxmlformats.org/officeDocument/2006/relationships" name="Dep-CoAct" sheetId="19" state="visible" r:id="rId19"/>
    <sheet xmlns:r="http://schemas.openxmlformats.org/officeDocument/2006/relationships" name="Notes-PL" sheetId="20" state="visible" r:id="rId20"/>
    <sheet xmlns:r="http://schemas.openxmlformats.org/officeDocument/2006/relationships" name="Other Notes" sheetId="21" state="visible" r:id="rId21"/>
    <sheet xmlns:r="http://schemas.openxmlformats.org/officeDocument/2006/relationships" name="Ratios" sheetId="22" state="visible" r:id="rId22"/>
  </sheets>
  <definedNames>
    <definedName name="BSD" hidden="0" function="0" vbProcedure="0">Setup!$C$9</definedName>
    <definedName name="PBSD" hidden="0" function="0" vbProcedure="0">Setup!$C$11</definedName>
    <definedName name="RND" hidden="0" function="0" vbProcedure="0">Setup!$C$26</definedName>
    <definedName name="_xlnm.Print_Area" localSheetId="12">'BS'!$B$1:$E$57</definedName>
    <definedName name="_xlnm.Print_Area" localSheetId="13">'PL'!$B$1:$E$44</definedName>
    <definedName name="_xlnm.Print_Area" localSheetId="14">'CashFlow'!$B$1:$D$53</definedName>
    <definedName name="_xlnm.Print_Area" localSheetId="16">'Shareholding'!$B$1:$G$43</definedName>
  </definedNames>
  <calcPr calcId="124519" fullCalcOnLoad="1" refMode="A1" iterate="0" iterateCount="100" iterateDelta="0.0001"/>
</workbook>
</file>

<file path=xl/styles.xml><?xml version="1.0" encoding="utf-8"?>
<styleSheet xmlns="http://schemas.openxmlformats.org/spreadsheetml/2006/main">
  <numFmts count="6">
    <numFmt numFmtId="164" formatCode="dd\-mm\-yyyy"/>
    <numFmt numFmtId="165" formatCode="#,##0;\(#,##0\);\-"/>
    <numFmt numFmtId="166" formatCode="0.00;\(0.00\);\-"/>
    <numFmt numFmtId="167" formatCode="0.000"/>
    <numFmt numFmtId="168" formatCode="#,##0.00;\(#,##0.00\);\-"/>
    <numFmt numFmtId="169" formatCode="0.0%;\(0.0%\);\-"/>
  </numFmts>
  <fonts count="3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28"/>
    </font>
    <font>
      <name val="Arial"/>
      <charset val="1"/>
      <family val="0"/>
      <b val="1"/>
      <color rgb="FFF97316"/>
      <sz val="28"/>
    </font>
    <font>
      <name val="Arial"/>
      <charset val="1"/>
      <family val="0"/>
      <b val="1"/>
      <color rgb="FFF97316"/>
      <sz val="30"/>
    </font>
    <font>
      <name val="Arial"/>
      <charset val="1"/>
      <family val="0"/>
      <color rgb="FFC7D2EA"/>
      <sz val="11"/>
    </font>
    <font>
      <name val="Arial"/>
      <charset val="1"/>
      <family val="0"/>
      <b val="1"/>
      <color rgb="FF0F2A4A"/>
      <sz val="14"/>
    </font>
    <font>
      <name val="Arial"/>
      <charset val="1"/>
      <family val="0"/>
      <color rgb="FF5A6672"/>
      <sz val="10"/>
    </font>
    <font>
      <name val="Arial"/>
      <charset val="1"/>
      <family val="0"/>
      <b val="1"/>
      <color rgb="FF1E3A8A"/>
      <sz val="11"/>
    </font>
    <font>
      <name val="Arial"/>
      <charset val="1"/>
      <family val="0"/>
      <sz val="10"/>
    </font>
    <font>
      <name val="Arial"/>
      <charset val="1"/>
      <family val="0"/>
      <color rgb="FF0000FF"/>
      <sz val="10"/>
    </font>
    <font>
      <name val="Arial"/>
      <charset val="1"/>
      <family val="0"/>
      <color rgb="FF5A6672"/>
      <sz val="9"/>
    </font>
    <font>
      <name val="Arial"/>
      <charset val="1"/>
      <family val="0"/>
      <i val="1"/>
      <color rgb="FF5A6672"/>
      <sz val="9"/>
    </font>
    <font>
      <name val="Arial"/>
      <charset val="1"/>
      <family val="0"/>
      <b val="1"/>
      <color rgb="FF1E3A8A"/>
      <sz val="10"/>
    </font>
    <font>
      <name val="Arial"/>
      <charset val="1"/>
      <family val="0"/>
      <color rgb="FF5A6672"/>
      <sz val="8"/>
    </font>
    <font>
      <name val="Arial"/>
      <charset val="1"/>
      <family val="0"/>
      <b val="1"/>
      <color rgb="FFFFFFFF"/>
      <sz val="11"/>
    </font>
    <font>
      <name val="Arial"/>
      <charset val="1"/>
      <family val="0"/>
      <b val="1"/>
      <sz val="10"/>
    </font>
    <font>
      <name val="Arial"/>
      <charset val="1"/>
      <family val="0"/>
      <b val="1"/>
      <color rgb="FF5A6672"/>
      <sz val="9"/>
    </font>
    <font>
      <name val="Arial"/>
      <charset val="1"/>
      <family val="0"/>
      <color rgb="FF1F2733"/>
      <sz val="9"/>
    </font>
    <font>
      <name val="Arial"/>
      <charset val="1"/>
      <family val="0"/>
      <b val="1"/>
      <color rgb="FF1E3A8A"/>
      <sz val="9"/>
    </font>
    <font>
      <name val="Arial"/>
      <charset val="1"/>
      <family val="0"/>
      <b val="1"/>
      <color rgb="FFFFFFFF"/>
      <sz val="9"/>
    </font>
    <font>
      <name val="Arial"/>
      <charset val="1"/>
      <family val="0"/>
      <color rgb="FF1F2733"/>
      <sz val="10"/>
    </font>
    <font>
      <name val="Arial"/>
      <charset val="1"/>
      <family val="0"/>
      <i val="1"/>
      <color rgb="FF5A6672"/>
      <sz val="8"/>
    </font>
    <font>
      <name val="Arial"/>
      <charset val="1"/>
      <family val="0"/>
      <b val="1"/>
      <color rgb="FF1F2733"/>
      <sz val="10"/>
    </font>
    <font>
      <name val="Arial"/>
      <charset val="1"/>
      <family val="0"/>
      <i val="1"/>
      <color rgb="FFF97316"/>
      <sz val="8"/>
    </font>
    <font>
      <name val="Arial"/>
      <charset val="1"/>
      <family val="0"/>
      <color rgb="FF008000"/>
      <sz val="10"/>
    </font>
    <font>
      <name val="Arial"/>
      <charset val="1"/>
      <family val="0"/>
      <b val="1"/>
      <color rgb="FFFFFFFF"/>
      <sz val="10"/>
    </font>
    <font>
      <name val="Arial"/>
      <charset val="1"/>
      <family val="0"/>
      <b val="1"/>
      <color rgb="FFB91C1C"/>
      <sz val="10"/>
    </font>
  </fonts>
  <fills count="7">
    <fill>
      <patternFill/>
    </fill>
    <fill>
      <patternFill patternType="gray125"/>
    </fill>
    <fill>
      <patternFill patternType="solid">
        <fgColor rgb="FF1E3A8A"/>
        <bgColor rgb="FF0F2A4A"/>
      </patternFill>
    </fill>
    <fill>
      <patternFill patternType="solid">
        <fgColor rgb="FFF97316"/>
        <bgColor rgb="FFFF9900"/>
      </patternFill>
    </fill>
    <fill>
      <patternFill patternType="solid">
        <fgColor rgb="FFFFF4C2"/>
        <bgColor rgb="FFFFFF99"/>
      </patternFill>
    </fill>
    <fill>
      <patternFill patternType="solid">
        <fgColor rgb="FFE8EEF5"/>
        <bgColor rgb="FFD8E1EA"/>
      </patternFill>
    </fill>
    <fill>
      <patternFill patternType="solid">
        <fgColor rgb="FF1E3A8A"/>
      </patternFill>
    </fill>
  </fills>
  <borders count="8">
    <border>
      <left/>
      <right/>
      <top/>
      <bottom/>
      <diagonal/>
    </border>
    <border>
      <left style="thin">
        <color rgb="FFD8E1EA"/>
      </left>
      <right style="thin">
        <color rgb="FFD8E1EA"/>
      </right>
      <top style="thin">
        <color rgb="FFD8E1EA"/>
      </top>
      <bottom style="thin">
        <color rgb="FFD8E1EA"/>
      </bottom>
      <diagonal/>
    </border>
    <border>
      <left style="thin">
        <color rgb="FFC9D2E8"/>
      </left>
      <right style="thin">
        <color rgb="FFC9D2E8"/>
      </right>
      <top style="thin">
        <color rgb="FFC9D2E8"/>
      </top>
      <bottom style="thin">
        <color rgb="FFC9D2E8"/>
      </bottom>
      <diagonal/>
    </border>
    <border>
      <left style="thin">
        <color rgb="FFBFC7D2"/>
      </left>
      <right style="thin">
        <color rgb="FFBFC7D2"/>
      </right>
      <top style="thin">
        <color rgb="FFBFC7D2"/>
      </top>
      <bottom style="thin">
        <color rgb="FFBFC7D2"/>
      </bottom>
      <diagonal/>
    </border>
    <border>
      <left/>
      <right/>
      <top style="thin">
        <color rgb="FFD8E1EA"/>
      </top>
      <bottom/>
      <diagonal/>
    </border>
    <border>
      <left/>
      <right style="thin">
        <color rgb="FFD8E1EA"/>
      </right>
      <top style="thin">
        <color rgb="FFD8E1EA"/>
      </top>
      <bottom/>
      <diagonal/>
    </border>
    <border>
      <left/>
      <right style="thin">
        <color rgb="FFD8E1EA"/>
      </right>
      <top style="thin">
        <color rgb="FFD8E1EA"/>
      </top>
      <bottom style="thin">
        <color rgb="FFD8E1EA"/>
      </bottom>
      <diagonal/>
    </border>
    <border>
      <left/>
      <right/>
      <top style="thin">
        <color rgb="FFD8E1EA"/>
      </top>
      <bottom style="thin">
        <color rgb="FFD8E1EA"/>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79">
    <xf numFmtId="0" fontId="0" fillId="0" borderId="0" applyAlignment="1" pivotButton="0" quotePrefix="0" xfId="0">
      <alignment horizontal="general" vertical="bottom"/>
    </xf>
    <xf numFmtId="0" fontId="4" fillId="2" borderId="0" applyAlignment="1" pivotButton="0" quotePrefix="0" xfId="0">
      <alignment horizontal="right" vertical="center"/>
    </xf>
    <xf numFmtId="0" fontId="5" fillId="2" borderId="0" applyAlignment="1" pivotButton="0" quotePrefix="0" xfId="0">
      <alignment horizontal="left" vertical="center"/>
    </xf>
    <xf numFmtId="0" fontId="6" fillId="2" borderId="0" applyAlignment="1" pivotButton="0" quotePrefix="0" xfId="0">
      <alignment horizontal="left" vertical="center"/>
    </xf>
    <xf numFmtId="0" fontId="7" fillId="2" borderId="0" applyAlignment="1" pivotButton="0" quotePrefix="0" xfId="0">
      <alignment horizontal="left" vertical="center" indent="1"/>
    </xf>
    <xf numFmtId="0" fontId="0" fillId="3" borderId="0" applyAlignment="1" pivotButton="0" quotePrefix="0" xfId="0">
      <alignment horizontal="general" vertical="bottom"/>
    </xf>
    <xf numFmtId="0" fontId="8" fillId="0" borderId="0" applyAlignment="1" pivotButton="0" quotePrefix="0" xfId="0">
      <alignment horizontal="general"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top" wrapText="1"/>
    </xf>
    <xf numFmtId="0" fontId="12" fillId="4" borderId="0" applyAlignment="1" applyProtection="1" pivotButton="0" quotePrefix="0" xfId="0">
      <alignment horizontal="general" vertical="bottom"/>
      <protection locked="0" hidden="0"/>
    </xf>
    <xf numFmtId="0" fontId="13" fillId="0" borderId="0" applyAlignment="1" pivotButton="0" quotePrefix="0" xfId="0">
      <alignment horizontal="general" vertical="bottom"/>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0" fillId="0" borderId="0" applyAlignment="1" pivotButton="0" quotePrefix="0" xfId="0">
      <alignment horizontal="general" vertical="bottom"/>
    </xf>
    <xf numFmtId="0" fontId="8" fillId="0" borderId="0" applyAlignment="1" pivotButton="0" quotePrefix="0" xfId="0">
      <alignment horizontal="general" vertical="bottom"/>
    </xf>
    <xf numFmtId="0" fontId="15" fillId="0" borderId="0" applyAlignment="1" pivotButton="0" quotePrefix="0" xfId="0">
      <alignment horizontal="general" vertical="bottom"/>
    </xf>
    <xf numFmtId="0" fontId="11" fillId="0" borderId="0" applyAlignment="1" pivotButton="0" quotePrefix="0" xfId="0">
      <alignment horizontal="general" vertical="bottom"/>
    </xf>
    <xf numFmtId="0" fontId="12" fillId="4" borderId="1" applyAlignment="1" applyProtection="1" pivotButton="0" quotePrefix="0" xfId="0">
      <alignment horizontal="general" vertical="bottom"/>
      <protection locked="0" hidden="0"/>
    </xf>
    <xf numFmtId="164" fontId="12" fillId="4" borderId="1" applyAlignment="1" applyProtection="1" pivotButton="0" quotePrefix="0" xfId="0">
      <alignment horizontal="general" vertical="bottom"/>
      <protection locked="0" hidden="0"/>
    </xf>
    <xf numFmtId="0" fontId="16" fillId="0" borderId="0" applyAlignment="1" pivotButton="0" quotePrefix="0" xfId="0">
      <alignment horizontal="general" vertical="bottom"/>
    </xf>
    <xf numFmtId="165" fontId="12" fillId="4" borderId="1" applyAlignment="1" applyProtection="1" pivotButton="0" quotePrefix="0" xfId="0">
      <alignment horizontal="general" vertical="bottom"/>
      <protection locked="0" hidden="0"/>
    </xf>
    <xf numFmtId="165" fontId="11" fillId="0" borderId="1" applyAlignment="1" pivotButton="0" quotePrefix="0" xfId="0">
      <alignment horizontal="general" vertical="bottom"/>
    </xf>
    <xf numFmtId="0" fontId="11" fillId="0" borderId="1" applyAlignment="1" pivotButton="0" quotePrefix="0" xfId="0">
      <alignment horizontal="general" vertical="bottom"/>
    </xf>
    <xf numFmtId="0" fontId="16" fillId="0" borderId="0" applyAlignment="1" pivotButton="0" quotePrefix="0" xfId="0">
      <alignment horizontal="general" vertical="top" wrapText="1"/>
    </xf>
    <xf numFmtId="0" fontId="17" fillId="2" borderId="1" applyAlignment="1" pivotButton="0" quotePrefix="0" xfId="0">
      <alignment horizontal="center" vertical="center" wrapText="1"/>
    </xf>
    <xf numFmtId="0" fontId="18" fillId="0" borderId="1" applyAlignment="1" pivotButton="0" quotePrefix="0" xfId="0">
      <alignment horizontal="general" vertical="bottom"/>
    </xf>
    <xf numFmtId="0" fontId="16" fillId="0" borderId="1" applyAlignment="1" pivotButton="0" quotePrefix="0" xfId="0">
      <alignment horizontal="general" vertical="top" wrapText="1"/>
    </xf>
    <xf numFmtId="0" fontId="16" fillId="0" borderId="1" applyAlignment="1" pivotButton="0" quotePrefix="0" xfId="0">
      <alignment horizontal="general" vertical="bottom"/>
    </xf>
    <xf numFmtId="0" fontId="18" fillId="0" borderId="0" applyAlignment="1" pivotButton="0" quotePrefix="0" xfId="0">
      <alignment horizontal="general" vertical="bottom"/>
    </xf>
    <xf numFmtId="165" fontId="18" fillId="5" borderId="1" applyAlignment="1" pivotButton="0" quotePrefix="0" xfId="0">
      <alignment horizontal="general" vertical="bottom"/>
    </xf>
    <xf numFmtId="165" fontId="18" fillId="0" borderId="1" applyAlignment="1" pivotButton="0" quotePrefix="0" xfId="0">
      <alignment horizontal="general" vertical="bottom"/>
    </xf>
    <xf numFmtId="166" fontId="12" fillId="4" borderId="1" applyAlignment="1" applyProtection="1" pivotButton="0" quotePrefix="0" xfId="0">
      <alignment horizontal="general" vertical="bottom"/>
      <protection locked="0" hidden="0"/>
    </xf>
    <xf numFmtId="0" fontId="8" fillId="0" borderId="0" applyAlignment="1" pivotButton="0" quotePrefix="0" xfId="0">
      <alignment horizontal="general" vertical="center"/>
    </xf>
    <xf numFmtId="0" fontId="10" fillId="0" borderId="0" applyAlignment="1" pivotButton="0" quotePrefix="0" xfId="0">
      <alignment horizontal="general" vertical="center"/>
    </xf>
    <xf numFmtId="0" fontId="9" fillId="0" borderId="0" applyAlignment="1" pivotButton="0" quotePrefix="0" xfId="0">
      <alignment horizontal="general" vertical="center"/>
    </xf>
    <xf numFmtId="0" fontId="19" fillId="0" borderId="0" applyAlignment="1" pivotButton="0" quotePrefix="0" xfId="0">
      <alignment horizontal="general" vertical="center"/>
    </xf>
    <xf numFmtId="164" fontId="20" fillId="0" borderId="0" applyAlignment="1" pivotButton="0" quotePrefix="0" xfId="0">
      <alignment horizontal="general" vertical="center"/>
    </xf>
    <xf numFmtId="1" fontId="12" fillId="4" borderId="2" applyAlignment="1" pivotButton="0" quotePrefix="0" xfId="0">
      <alignment horizontal="general" vertical="center"/>
    </xf>
    <xf numFmtId="0" fontId="14" fillId="0" borderId="0" applyAlignment="1" pivotButton="0" quotePrefix="0" xfId="0">
      <alignment horizontal="general" vertical="center"/>
    </xf>
    <xf numFmtId="0" fontId="21" fillId="0" borderId="0" applyAlignment="1" pivotButton="0" quotePrefix="0" xfId="0">
      <alignment horizontal="general" vertical="center"/>
    </xf>
    <xf numFmtId="0" fontId="22" fillId="2" borderId="2" applyAlignment="1" pivotButton="0" quotePrefix="0" xfId="0">
      <alignment horizontal="center" vertical="center" wrapText="1"/>
    </xf>
    <xf numFmtId="0" fontId="20" fillId="0" borderId="2" applyAlignment="1" pivotButton="0" quotePrefix="0" xfId="0">
      <alignment horizontal="center" vertical="center"/>
    </xf>
    <xf numFmtId="0" fontId="12" fillId="4" borderId="2" applyAlignment="1" pivotButton="0" quotePrefix="0" xfId="0">
      <alignment horizontal="general" vertical="center"/>
    </xf>
    <xf numFmtId="164" fontId="12" fillId="4" borderId="2" applyAlignment="1" pivotButton="0" quotePrefix="0" xfId="0">
      <alignment horizontal="general" vertical="center"/>
    </xf>
    <xf numFmtId="3" fontId="12" fillId="4" borderId="2" applyAlignment="1" pivotButton="0" quotePrefix="0" xfId="0">
      <alignment horizontal="general" vertical="center"/>
    </xf>
    <xf numFmtId="1" fontId="23" fillId="0" borderId="2" applyAlignment="1" pivotButton="0" quotePrefix="0" xfId="0">
      <alignment horizontal="center" vertical="center"/>
    </xf>
    <xf numFmtId="3" fontId="23" fillId="0" borderId="2" applyAlignment="1" pivotButton="0" quotePrefix="0" xfId="0">
      <alignment horizontal="right" vertical="center"/>
    </xf>
    <xf numFmtId="10" fontId="23" fillId="0" borderId="2" applyAlignment="1" pivotButton="0" quotePrefix="0" xfId="0">
      <alignment horizontal="center" vertical="center"/>
    </xf>
    <xf numFmtId="1" fontId="12" fillId="4" borderId="2" applyAlignment="1" pivotButton="0" quotePrefix="0" xfId="0">
      <alignment horizontal="center" vertical="center"/>
    </xf>
    <xf numFmtId="10" fontId="12" fillId="4" borderId="2" applyAlignment="1" pivotButton="0" quotePrefix="0" xfId="0">
      <alignment horizontal="center" vertical="center"/>
    </xf>
    <xf numFmtId="0" fontId="24" fillId="0" borderId="0" applyAlignment="1" pivotButton="0" quotePrefix="0" xfId="0">
      <alignment horizontal="general" vertical="center"/>
    </xf>
    <xf numFmtId="0" fontId="25" fillId="0" borderId="2" applyAlignment="1" pivotButton="0" quotePrefix="0" xfId="0">
      <alignment horizontal="general" vertical="center"/>
    </xf>
    <xf numFmtId="3" fontId="12" fillId="4" borderId="2" applyAlignment="1" pivotButton="0" quotePrefix="0" xfId="0">
      <alignment horizontal="right" vertical="center"/>
    </xf>
    <xf numFmtId="3" fontId="25" fillId="0" borderId="2" applyAlignment="1" pivotButton="0" quotePrefix="0" xfId="0">
      <alignment horizontal="right" vertical="center"/>
    </xf>
    <xf numFmtId="167" fontId="12" fillId="4" borderId="2" applyAlignment="1" pivotButton="0" quotePrefix="0" xfId="0">
      <alignment horizontal="general" vertical="center"/>
    </xf>
    <xf numFmtId="0" fontId="23" fillId="0" borderId="2" applyAlignment="1" pivotButton="0" quotePrefix="0" xfId="0">
      <alignment horizontal="center" vertical="center"/>
    </xf>
    <xf numFmtId="0" fontId="26" fillId="0" borderId="0" applyAlignment="1" pivotButton="0" quotePrefix="0" xfId="0">
      <alignment horizontal="general" vertical="center"/>
    </xf>
    <xf numFmtId="168" fontId="11" fillId="0" borderId="1" applyAlignment="1" pivotButton="0" quotePrefix="0" xfId="0">
      <alignment horizontal="general" vertical="bottom"/>
    </xf>
    <xf numFmtId="168" fontId="18" fillId="5" borderId="1" applyAlignment="1" pivotButton="0" quotePrefix="0" xfId="0">
      <alignment horizontal="general" vertical="bottom"/>
    </xf>
    <xf numFmtId="165" fontId="27" fillId="0" borderId="1" applyAlignment="1" pivotButton="0" quotePrefix="0" xfId="0">
      <alignment horizontal="general" vertical="bottom"/>
    </xf>
    <xf numFmtId="166" fontId="18" fillId="5" borderId="1" applyAlignment="1" pivotButton="0" quotePrefix="0" xfId="0">
      <alignment horizontal="general" vertical="bottom"/>
    </xf>
    <xf numFmtId="0" fontId="18" fillId="5" borderId="1" applyAlignment="1" pivotButton="0" quotePrefix="0" xfId="0">
      <alignment horizontal="general" vertical="bottom"/>
    </xf>
    <xf numFmtId="168" fontId="18" fillId="0" borderId="1" applyAlignment="1" pivotButton="0" quotePrefix="0" xfId="0">
      <alignment horizontal="general" vertical="bottom"/>
    </xf>
    <xf numFmtId="0" fontId="0" fillId="0" borderId="1" applyAlignment="1" pivotButton="0" quotePrefix="0" xfId="0">
      <alignment horizontal="general" vertical="bottom"/>
    </xf>
    <xf numFmtId="166" fontId="11" fillId="0" borderId="1" applyAlignment="1" pivotButton="0" quotePrefix="0" xfId="0">
      <alignment horizontal="general" vertical="bottom"/>
    </xf>
    <xf numFmtId="168" fontId="27" fillId="0" borderId="1" applyAlignment="1" pivotButton="0" quotePrefix="0" xfId="0">
      <alignment horizontal="general" vertical="bottom"/>
    </xf>
    <xf numFmtId="168" fontId="12" fillId="0" borderId="1" applyAlignment="1" applyProtection="1" pivotButton="0" quotePrefix="0" xfId="0">
      <alignment horizontal="general" vertical="bottom"/>
      <protection locked="0" hidden="0"/>
    </xf>
    <xf numFmtId="0" fontId="12" fillId="0" borderId="1" applyAlignment="1" applyProtection="1" pivotButton="0" quotePrefix="0" xfId="0">
      <alignment horizontal="general" vertical="top" wrapText="1"/>
      <protection locked="0" hidden="0"/>
    </xf>
    <xf numFmtId="165" fontId="12" fillId="0" borderId="1" applyAlignment="1" applyProtection="1" pivotButton="0" quotePrefix="0" xfId="0">
      <alignment horizontal="general" vertical="bottom"/>
      <protection locked="0" hidden="0"/>
    </xf>
    <xf numFmtId="0" fontId="12" fillId="0" borderId="1" applyAlignment="1" applyProtection="1" pivotButton="0" quotePrefix="0" xfId="0">
      <alignment horizontal="general" vertical="bottom"/>
      <protection locked="0" hidden="0"/>
    </xf>
    <xf numFmtId="169" fontId="11" fillId="0" borderId="1" applyAlignment="1" pivotButton="0" quotePrefix="0" xfId="0">
      <alignment horizontal="general" vertical="bottom"/>
    </xf>
    <xf numFmtId="169" fontId="18" fillId="5" borderId="1" applyAlignment="1" pivotButton="0" quotePrefix="0" xfId="0">
      <alignment horizontal="general" vertical="bottom"/>
    </xf>
    <xf numFmtId="0" fontId="14" fillId="0" borderId="0" applyAlignment="1" pivotButton="0" quotePrefix="0" xfId="0">
      <alignment horizontal="general" vertical="center" wrapText="1"/>
    </xf>
    <xf numFmtId="0" fontId="28" fillId="2" borderId="3" applyAlignment="1" pivotButton="0" quotePrefix="0" xfId="0">
      <alignment horizontal="left" vertical="center" wrapText="1"/>
    </xf>
    <xf numFmtId="0" fontId="28" fillId="2" borderId="3" applyAlignment="1" pivotButton="0" quotePrefix="0" xfId="0">
      <alignment horizontal="center" vertical="center" wrapText="1"/>
    </xf>
    <xf numFmtId="0" fontId="11" fillId="0" borderId="3" applyAlignment="1" pivotButton="0" quotePrefix="0" xfId="0">
      <alignment horizontal="general" vertical="center" wrapText="1"/>
    </xf>
    <xf numFmtId="168" fontId="11" fillId="0" borderId="3" applyAlignment="1" pivotButton="0" quotePrefix="0" xfId="0">
      <alignment horizontal="general" vertical="center"/>
    </xf>
    <xf numFmtId="168" fontId="12" fillId="0" borderId="3" applyAlignment="1" pivotButton="0" quotePrefix="0" xfId="0">
      <alignment horizontal="general" vertical="center"/>
    </xf>
    <xf numFmtId="0" fontId="18" fillId="0" borderId="3" applyAlignment="1" pivotButton="0" quotePrefix="0" xfId="0">
      <alignment horizontal="general" vertical="center"/>
    </xf>
    <xf numFmtId="168" fontId="18" fillId="0" borderId="3" applyAlignment="1" pivotButton="0" quotePrefix="0" xfId="0">
      <alignment horizontal="general" vertical="center"/>
    </xf>
    <xf numFmtId="0" fontId="15" fillId="0" borderId="0" applyAlignment="1" pivotButton="0" quotePrefix="0" xfId="0">
      <alignment horizontal="general" vertical="center"/>
    </xf>
    <xf numFmtId="0" fontId="10" fillId="0" borderId="0" applyAlignment="1" pivotButton="0" quotePrefix="0" xfId="0">
      <alignment horizontal="general" vertical="bottom"/>
    </xf>
    <xf numFmtId="165" fontId="11" fillId="0" borderId="3" applyAlignment="1" pivotButton="0" quotePrefix="0" xfId="0">
      <alignment horizontal="general" vertical="center"/>
    </xf>
    <xf numFmtId="4" fontId="11" fillId="0" borderId="3" applyAlignment="1" pivotButton="0" quotePrefix="0" xfId="0">
      <alignment horizontal="general" vertical="center"/>
    </xf>
    <xf numFmtId="168" fontId="12" fillId="0" borderId="3" applyAlignment="1" pivotButton="0" quotePrefix="0" xfId="0">
      <alignment horizontal="center" vertical="center"/>
    </xf>
    <xf numFmtId="166" fontId="12" fillId="0" borderId="1" applyAlignment="1" applyProtection="1" pivotButton="0" quotePrefix="0" xfId="0">
      <alignment horizontal="general" vertical="bottom"/>
      <protection locked="0" hidden="0"/>
    </xf>
    <xf numFmtId="0" fontId="29" fillId="0" borderId="1" applyAlignment="1" pivotButton="0" quotePrefix="0" xfId="0">
      <alignment horizontal="general" vertical="bottom"/>
    </xf>
    <xf numFmtId="169" fontId="12" fillId="0" borderId="1" applyAlignment="1" applyProtection="1" pivotButton="0" quotePrefix="0" xfId="0">
      <alignment horizontal="general" vertical="bottom"/>
      <protection locked="0" hidden="0"/>
    </xf>
    <xf numFmtId="0" fontId="0" fillId="0" borderId="0" applyAlignment="1" pivotButton="0" quotePrefix="0" xfId="0">
      <alignment horizontal="general" vertical="bottom"/>
    </xf>
    <xf numFmtId="0" fontId="0" fillId="0" borderId="0" pivotButton="0" quotePrefix="0" xfId="0"/>
    <xf numFmtId="0" fontId="4" fillId="6" borderId="0" applyAlignment="1" pivotButton="0" quotePrefix="0" xfId="0">
      <alignment horizontal="left" vertical="center" indent="1"/>
    </xf>
    <xf numFmtId="0" fontId="0" fillId="6" borderId="0" pivotButton="0" quotePrefix="0" xfId="0"/>
    <xf numFmtId="0" fontId="7" fillId="2" borderId="0" applyAlignment="1" pivotButton="0" quotePrefix="0" xfId="0">
      <alignment horizontal="left" vertical="center" indent="1"/>
    </xf>
    <xf numFmtId="0" fontId="0" fillId="3" borderId="0" applyAlignment="1" pivotButton="0" quotePrefix="0" xfId="0">
      <alignment horizontal="general" vertical="bottom"/>
    </xf>
    <xf numFmtId="0" fontId="8" fillId="0" borderId="0" applyAlignment="1" pivotButton="0" quotePrefix="0" xfId="0">
      <alignment horizontal="general" vertical="center" wrapText="1"/>
    </xf>
    <xf numFmtId="0" fontId="9" fillId="0" borderId="0" applyAlignment="1" pivotButton="0" quotePrefix="0" xfId="0">
      <alignment horizontal="general" vertical="top" wrapText="1"/>
    </xf>
    <xf numFmtId="0" fontId="10" fillId="0" borderId="0" applyAlignment="1" pivotButton="0" quotePrefix="0" xfId="0">
      <alignment horizontal="general" vertical="bottom"/>
    </xf>
    <xf numFmtId="0" fontId="11" fillId="0" borderId="0" applyAlignment="1" pivotButton="0" quotePrefix="0" xfId="0">
      <alignment horizontal="general" vertical="top" wrapText="1"/>
    </xf>
    <xf numFmtId="0" fontId="12" fillId="4" borderId="0" applyAlignment="1" applyProtection="1" pivotButton="0" quotePrefix="0" xfId="0">
      <alignment horizontal="general" vertical="bottom"/>
      <protection locked="0" hidden="0"/>
    </xf>
    <xf numFmtId="0" fontId="13" fillId="0" borderId="0" applyAlignment="1" pivotButton="0" quotePrefix="0" xfId="0">
      <alignment horizontal="general" vertical="bottom"/>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8" fillId="0" borderId="0" applyAlignment="1" pivotButton="0" quotePrefix="0" xfId="0">
      <alignment horizontal="general" vertical="bottom"/>
    </xf>
    <xf numFmtId="0" fontId="15" fillId="0" borderId="0" applyAlignment="1" pivotButton="0" quotePrefix="0" xfId="0">
      <alignment horizontal="general" vertical="bottom"/>
    </xf>
    <xf numFmtId="0" fontId="11" fillId="0" borderId="0" applyAlignment="1" pivotButton="0" quotePrefix="0" xfId="0">
      <alignment horizontal="general" vertical="bottom"/>
    </xf>
    <xf numFmtId="0" fontId="12" fillId="4" borderId="1" applyAlignment="1" applyProtection="1" pivotButton="0" quotePrefix="0" xfId="0">
      <alignment horizontal="general" vertical="bottom"/>
      <protection locked="0" hidden="0"/>
    </xf>
    <xf numFmtId="164" fontId="12" fillId="4" borderId="1" applyAlignment="1" applyProtection="1" pivotButton="0" quotePrefix="0" xfId="0">
      <alignment horizontal="general" vertical="bottom"/>
      <protection locked="0" hidden="0"/>
    </xf>
    <xf numFmtId="0" fontId="16" fillId="0" borderId="0" applyAlignment="1" pivotButton="0" quotePrefix="0" xfId="0">
      <alignment horizontal="general" vertical="bottom"/>
    </xf>
    <xf numFmtId="165" fontId="12" fillId="4" borderId="1" applyAlignment="1" applyProtection="1" pivotButton="0" quotePrefix="0" xfId="0">
      <alignment horizontal="general" vertical="bottom"/>
      <protection locked="0" hidden="0"/>
    </xf>
    <xf numFmtId="165" fontId="11" fillId="0" borderId="1" applyAlignment="1" pivotButton="0" quotePrefix="0" xfId="0">
      <alignment horizontal="general" vertical="bottom"/>
    </xf>
    <xf numFmtId="0" fontId="11" fillId="0" borderId="1" applyAlignment="1" pivotButton="0" quotePrefix="0" xfId="0">
      <alignment horizontal="general" vertical="bottom"/>
    </xf>
    <xf numFmtId="0" fontId="16" fillId="0" borderId="0" applyAlignment="1" pivotButton="0" quotePrefix="0" xfId="0">
      <alignment horizontal="general" vertical="top" wrapText="1"/>
    </xf>
    <xf numFmtId="0" fontId="17" fillId="2" borderId="1" applyAlignment="1" pivotButton="0" quotePrefix="0" xfId="0">
      <alignment horizontal="center" vertical="center" wrapText="1"/>
    </xf>
    <xf numFmtId="0" fontId="18" fillId="0" borderId="1" applyAlignment="1" pivotButton="0" quotePrefix="0" xfId="0">
      <alignment horizontal="general" vertical="bottom"/>
    </xf>
    <xf numFmtId="0" fontId="16" fillId="0" borderId="1" applyAlignment="1" pivotButton="0" quotePrefix="0" xfId="0">
      <alignment horizontal="general" vertical="top" wrapText="1"/>
    </xf>
    <xf numFmtId="0" fontId="16" fillId="0" borderId="1" applyAlignment="1" pivotButton="0" quotePrefix="0" xfId="0">
      <alignment horizontal="general" vertical="bottom"/>
    </xf>
    <xf numFmtId="0" fontId="18" fillId="0" borderId="0" applyAlignment="1" pivotButton="0" quotePrefix="0" xfId="0">
      <alignment horizontal="general" vertical="bottom"/>
    </xf>
    <xf numFmtId="165" fontId="18" fillId="5" borderId="1" applyAlignment="1" pivotButton="0" quotePrefix="0" xfId="0">
      <alignment horizontal="general" vertical="bottom"/>
    </xf>
    <xf numFmtId="165" fontId="18" fillId="0" borderId="1" applyAlignment="1" pivotButton="0" quotePrefix="0" xfId="0">
      <alignment horizontal="general" vertical="bottom"/>
    </xf>
    <xf numFmtId="166" fontId="12" fillId="4" borderId="1" applyAlignment="1" applyProtection="1" pivotButton="0" quotePrefix="0" xfId="0">
      <alignment horizontal="general" vertical="bottom"/>
      <protection locked="0" hidden="0"/>
    </xf>
    <xf numFmtId="0" fontId="8" fillId="0" borderId="0" applyAlignment="1" pivotButton="0" quotePrefix="0" xfId="0">
      <alignment horizontal="general" vertical="center"/>
    </xf>
    <xf numFmtId="0" fontId="10" fillId="0" borderId="0" applyAlignment="1" pivotButton="0" quotePrefix="0" xfId="0">
      <alignment horizontal="general" vertical="center"/>
    </xf>
    <xf numFmtId="0" fontId="9" fillId="0" borderId="0" applyAlignment="1" pivotButton="0" quotePrefix="0" xfId="0">
      <alignment horizontal="general" vertical="center"/>
    </xf>
    <xf numFmtId="0" fontId="19" fillId="0" borderId="0" applyAlignment="1" pivotButton="0" quotePrefix="0" xfId="0">
      <alignment horizontal="general" vertical="center"/>
    </xf>
    <xf numFmtId="164" fontId="20" fillId="0" borderId="0" applyAlignment="1" pivotButton="0" quotePrefix="0" xfId="0">
      <alignment horizontal="general" vertical="center"/>
    </xf>
    <xf numFmtId="1" fontId="12" fillId="4" borderId="2" applyAlignment="1" pivotButton="0" quotePrefix="0" xfId="0">
      <alignment horizontal="general" vertical="center"/>
    </xf>
    <xf numFmtId="0" fontId="14" fillId="0" borderId="0" applyAlignment="1" pivotButton="0" quotePrefix="0" xfId="0">
      <alignment horizontal="general" vertical="center"/>
    </xf>
    <xf numFmtId="0" fontId="21" fillId="0" borderId="0" applyAlignment="1" pivotButton="0" quotePrefix="0" xfId="0">
      <alignment horizontal="general" vertical="center"/>
    </xf>
    <xf numFmtId="0" fontId="22" fillId="2" borderId="2" applyAlignment="1" pivotButton="0" quotePrefix="0" xfId="0">
      <alignment horizontal="center" vertical="center" wrapText="1"/>
    </xf>
    <xf numFmtId="0" fontId="20" fillId="0" borderId="2" applyAlignment="1" pivotButton="0" quotePrefix="0" xfId="0">
      <alignment horizontal="center" vertical="center"/>
    </xf>
    <xf numFmtId="0" fontId="12" fillId="4" borderId="2" applyAlignment="1" pivotButton="0" quotePrefix="0" xfId="0">
      <alignment horizontal="general" vertical="center"/>
    </xf>
    <xf numFmtId="164" fontId="12" fillId="4" borderId="2" applyAlignment="1" pivotButton="0" quotePrefix="0" xfId="0">
      <alignment horizontal="general" vertical="center"/>
    </xf>
    <xf numFmtId="3" fontId="12" fillId="4" borderId="2" applyAlignment="1" pivotButton="0" quotePrefix="0" xfId="0">
      <alignment horizontal="general" vertical="center"/>
    </xf>
    <xf numFmtId="1" fontId="23" fillId="0" borderId="2" applyAlignment="1" pivotButton="0" quotePrefix="0" xfId="0">
      <alignment horizontal="center" vertical="center"/>
    </xf>
    <xf numFmtId="3" fontId="23" fillId="0" borderId="2" applyAlignment="1" pivotButton="0" quotePrefix="0" xfId="0">
      <alignment horizontal="right" vertical="center"/>
    </xf>
    <xf numFmtId="10" fontId="23" fillId="0" borderId="2" applyAlignment="1" pivotButton="0" quotePrefix="0" xfId="0">
      <alignment horizontal="center" vertical="center"/>
    </xf>
    <xf numFmtId="1" fontId="12" fillId="4" borderId="2" applyAlignment="1" pivotButton="0" quotePrefix="0" xfId="0">
      <alignment horizontal="center" vertical="center"/>
    </xf>
    <xf numFmtId="10" fontId="12" fillId="4" borderId="2" applyAlignment="1" pivotButton="0" quotePrefix="0" xfId="0">
      <alignment horizontal="center" vertical="center"/>
    </xf>
    <xf numFmtId="0" fontId="24" fillId="0" borderId="0" applyAlignment="1" pivotButton="0" quotePrefix="0" xfId="0">
      <alignment horizontal="general" vertical="center"/>
    </xf>
    <xf numFmtId="0" fontId="25" fillId="0" borderId="2" applyAlignment="1" pivotButton="0" quotePrefix="0" xfId="0">
      <alignment horizontal="general" vertical="center"/>
    </xf>
    <xf numFmtId="3" fontId="12" fillId="4" borderId="2" applyAlignment="1" pivotButton="0" quotePrefix="0" xfId="0">
      <alignment horizontal="right" vertical="center"/>
    </xf>
    <xf numFmtId="3" fontId="25" fillId="0" borderId="2" applyAlignment="1" pivotButton="0" quotePrefix="0" xfId="0">
      <alignment horizontal="right" vertical="center"/>
    </xf>
    <xf numFmtId="167" fontId="12" fillId="4" borderId="2" applyAlignment="1" pivotButton="0" quotePrefix="0" xfId="0">
      <alignment horizontal="general" vertical="center"/>
    </xf>
    <xf numFmtId="0" fontId="23" fillId="0" borderId="2" applyAlignment="1" pivotButton="0" quotePrefix="0" xfId="0">
      <alignment horizontal="center" vertical="center"/>
    </xf>
    <xf numFmtId="0" fontId="26" fillId="0" borderId="0" applyAlignment="1" pivotButton="0" quotePrefix="0" xfId="0">
      <alignment horizontal="general" vertical="center"/>
    </xf>
    <xf numFmtId="168" fontId="11" fillId="0" borderId="1" applyAlignment="1" pivotButton="0" quotePrefix="0" xfId="0">
      <alignment horizontal="general" vertical="bottom"/>
    </xf>
    <xf numFmtId="168" fontId="18" fillId="5" borderId="1" applyAlignment="1" pivotButton="0" quotePrefix="0" xfId="0">
      <alignment horizontal="general" vertical="bottom"/>
    </xf>
    <xf numFmtId="165" fontId="27" fillId="0" borderId="1" applyAlignment="1" pivotButton="0" quotePrefix="0" xfId="0">
      <alignment horizontal="general" vertical="bottom"/>
    </xf>
    <xf numFmtId="166" fontId="18" fillId="5" borderId="1" applyAlignment="1" pivotButton="0" quotePrefix="0" xfId="0">
      <alignment horizontal="general" vertical="bottom"/>
    </xf>
    <xf numFmtId="0" fontId="18" fillId="5" borderId="1" applyAlignment="1" pivotButton="0" quotePrefix="0" xfId="0">
      <alignment horizontal="general" vertical="bottom"/>
    </xf>
    <xf numFmtId="168" fontId="18" fillId="0" borderId="1" applyAlignment="1" pivotButton="0" quotePrefix="0" xfId="0">
      <alignment horizontal="general" vertical="bottom"/>
    </xf>
    <xf numFmtId="0" fontId="0" fillId="0" borderId="6" pivotButton="0" quotePrefix="0" xfId="0"/>
    <xf numFmtId="0" fontId="0" fillId="0" borderId="1" applyAlignment="1" pivotButton="0" quotePrefix="0" xfId="0">
      <alignment horizontal="general" vertical="bottom"/>
    </xf>
    <xf numFmtId="166" fontId="11" fillId="0" borderId="1" applyAlignment="1" pivotButton="0" quotePrefix="0" xfId="0">
      <alignment horizontal="general" vertical="bottom"/>
    </xf>
    <xf numFmtId="168" fontId="27" fillId="0" borderId="1" applyAlignment="1" pivotButton="0" quotePrefix="0" xfId="0">
      <alignment horizontal="general" vertical="bottom"/>
    </xf>
    <xf numFmtId="168" fontId="12" fillId="0" borderId="1" applyAlignment="1" applyProtection="1" pivotButton="0" quotePrefix="0" xfId="0">
      <alignment horizontal="general" vertical="bottom"/>
      <protection locked="0" hidden="0"/>
    </xf>
    <xf numFmtId="0" fontId="12" fillId="0" borderId="1" applyAlignment="1" applyProtection="1" pivotButton="0" quotePrefix="0" xfId="0">
      <alignment horizontal="general" vertical="top" wrapText="1"/>
      <protection locked="0" hidden="0"/>
    </xf>
    <xf numFmtId="165" fontId="12" fillId="0" borderId="1" applyAlignment="1" applyProtection="1" pivotButton="0" quotePrefix="0" xfId="0">
      <alignment horizontal="general" vertical="bottom"/>
      <protection locked="0" hidden="0"/>
    </xf>
    <xf numFmtId="0" fontId="0" fillId="0" borderId="7" applyProtection="1" pivotButton="0" quotePrefix="0" xfId="0">
      <protection locked="0" hidden="0"/>
    </xf>
    <xf numFmtId="0" fontId="0" fillId="0" borderId="6" applyProtection="1" pivotButton="0" quotePrefix="0" xfId="0">
      <protection locked="0" hidden="0"/>
    </xf>
    <xf numFmtId="0" fontId="12" fillId="0" borderId="1" applyAlignment="1" applyProtection="1" pivotButton="0" quotePrefix="0" xfId="0">
      <alignment horizontal="general" vertical="bottom"/>
      <protection locked="0" hidden="0"/>
    </xf>
    <xf numFmtId="169" fontId="11" fillId="0" borderId="1" applyAlignment="1" pivotButton="0" quotePrefix="0" xfId="0">
      <alignment horizontal="general" vertical="bottom"/>
    </xf>
    <xf numFmtId="169" fontId="18" fillId="5" borderId="1" applyAlignment="1" pivotButton="0" quotePrefix="0" xfId="0">
      <alignment horizontal="general" vertical="bottom"/>
    </xf>
    <xf numFmtId="0" fontId="14" fillId="0" borderId="0" applyAlignment="1" pivotButton="0" quotePrefix="0" xfId="0">
      <alignment horizontal="general" vertical="center" wrapText="1"/>
    </xf>
    <xf numFmtId="0" fontId="28" fillId="2" borderId="3" applyAlignment="1" pivotButton="0" quotePrefix="0" xfId="0">
      <alignment horizontal="left" vertical="center" wrapText="1"/>
    </xf>
    <xf numFmtId="0" fontId="28" fillId="2" borderId="3" applyAlignment="1" pivotButton="0" quotePrefix="0" xfId="0">
      <alignment horizontal="center" vertical="center" wrapText="1"/>
    </xf>
    <xf numFmtId="0" fontId="11" fillId="0" borderId="3" applyAlignment="1" pivotButton="0" quotePrefix="0" xfId="0">
      <alignment horizontal="general" vertical="center" wrapText="1"/>
    </xf>
    <xf numFmtId="168" fontId="11" fillId="0" borderId="3" applyAlignment="1" pivotButton="0" quotePrefix="0" xfId="0">
      <alignment horizontal="general" vertical="center"/>
    </xf>
    <xf numFmtId="168" fontId="12" fillId="0" borderId="3" applyAlignment="1" pivotButton="0" quotePrefix="0" xfId="0">
      <alignment horizontal="general" vertical="center"/>
    </xf>
    <xf numFmtId="0" fontId="18" fillId="0" borderId="3" applyAlignment="1" pivotButton="0" quotePrefix="0" xfId="0">
      <alignment horizontal="general" vertical="center"/>
    </xf>
    <xf numFmtId="168" fontId="18" fillId="0" borderId="3" applyAlignment="1" pivotButton="0" quotePrefix="0" xfId="0">
      <alignment horizontal="general" vertical="center"/>
    </xf>
    <xf numFmtId="0" fontId="15" fillId="0" borderId="0" applyAlignment="1" pivotButton="0" quotePrefix="0" xfId="0">
      <alignment horizontal="general" vertical="center"/>
    </xf>
    <xf numFmtId="165" fontId="11" fillId="0" borderId="3" applyAlignment="1" pivotButton="0" quotePrefix="0" xfId="0">
      <alignment horizontal="general" vertical="center"/>
    </xf>
    <xf numFmtId="4" fontId="11" fillId="0" borderId="3" applyAlignment="1" pivotButton="0" quotePrefix="0" xfId="0">
      <alignment horizontal="general" vertical="center"/>
    </xf>
    <xf numFmtId="168" fontId="12" fillId="0" borderId="3" applyAlignment="1" pivotButton="0" quotePrefix="0" xfId="0">
      <alignment horizontal="center" vertical="center"/>
    </xf>
    <xf numFmtId="166" fontId="12" fillId="0" borderId="1" applyAlignment="1" applyProtection="1" pivotButton="0" quotePrefix="0" xfId="0">
      <alignment horizontal="general" vertical="bottom"/>
      <protection locked="0" hidden="0"/>
    </xf>
    <xf numFmtId="0" fontId="29" fillId="0" borderId="1" applyAlignment="1" pivotButton="0" quotePrefix="0" xfId="0">
      <alignment horizontal="general" vertical="bottom"/>
    </xf>
    <xf numFmtId="169" fontId="12" fillId="0" borderId="1" applyAlignment="1" applyProtection="1" pivotButton="0" quotePrefix="0" xfId="0">
      <alignment horizontal="general" vertical="bottom"/>
      <protection locked="0" hidden="0"/>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2"/>
      <rgbColor rgb="FF808080"/>
      <rgbColor rgb="FF9999FF"/>
      <rgbColor rgb="FF993366"/>
      <rgbColor rgb="FFFFF4C2"/>
      <rgbColor rgb="FFE8EEF5"/>
      <rgbColor rgb="FF660066"/>
      <rgbColor rgb="FFFF8080"/>
      <rgbColor rgb="FF0066CC"/>
      <rgbColor rgb="FFC7D2EA"/>
      <rgbColor rgb="FF000080"/>
      <rgbColor rgb="FFFF00FF"/>
      <rgbColor rgb="FFFFFF00"/>
      <rgbColor rgb="FF00FFFF"/>
      <rgbColor rgb="FF800080"/>
      <rgbColor rgb="FF800000"/>
      <rgbColor rgb="FF008080"/>
      <rgbColor rgb="FF0000FF"/>
      <rgbColor rgb="FF00CCFF"/>
      <rgbColor rgb="FFD8E1EA"/>
      <rgbColor rgb="FFCCFFCC"/>
      <rgbColor rgb="FFFFFF99"/>
      <rgbColor rgb="FFC9D2E8"/>
      <rgbColor rgb="FFFF99CC"/>
      <rgbColor rgb="FFCC99FF"/>
      <rgbColor rgb="FFFFCC99"/>
      <rgbColor rgb="FF3366FF"/>
      <rgbColor rgb="FF33CCCC"/>
      <rgbColor rgb="FF99CC00"/>
      <rgbColor rgb="FFFFCC00"/>
      <rgbColor rgb="FFFF9900"/>
      <rgbColor rgb="FFF97316"/>
      <rgbColor rgb="FF5A6672"/>
      <rgbColor rgb="FF969696"/>
      <rgbColor rgb="FF0F2A4A"/>
      <rgbColor rgb="FF339966"/>
      <rgbColor rgb="FF003300"/>
      <rgbColor rgb="FF333300"/>
      <rgbColor rgb="FFB91C1C"/>
      <rgbColor rgb="FF993366"/>
      <rgbColor rgb="FF1E3A8A"/>
      <rgbColor rgb="FF1F27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2:D23"/>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5" customWidth="1" style="89" min="1" max="1"/>
    <col width="32" customWidth="1" style="89" min="2" max="2"/>
    <col width="52" customWidth="1" style="89" min="3" max="3"/>
    <col width="16" customWidth="1" style="89" min="4" max="4"/>
  </cols>
  <sheetData>
    <row r="2" ht="44" customHeight="1" s="90">
      <c r="B2" s="91" t="inlineStr">
        <is>
          <r>
            <rPr>
              <rFont val="Arial"/>
              <b val="1"/>
              <color rgb="FFFFFFFF"/>
              <sz val="28"/>
            </rPr>
            <t>Calc</t>
          </r>
          <r>
            <rPr>
              <rFont val="Arial"/>
              <b val="1"/>
              <color rgb="FFF97316"/>
              <sz val="28"/>
            </rPr>
            <t>Guru</t>
          </r>
        </is>
      </c>
      <c r="C2" s="92" t="n"/>
      <c r="D2" s="92" t="n"/>
    </row>
    <row r="3" ht="21.75" customHeight="1" s="90">
      <c r="B3" s="93" t="inlineStr">
        <is>
          <t>Free CA &amp; Company-Law Templates      ·      calcguru.in</t>
        </is>
      </c>
    </row>
    <row r="4" ht="4.5" customHeight="1" s="90">
      <c r="B4" s="94" t="n"/>
    </row>
    <row r="6" ht="39.75" customHeight="1" s="90">
      <c r="B6" s="95" t="inlineStr">
        <is>
          <t>Schedule III Financial Statements — Companies (Division I) — FY 2025-26 template</t>
        </is>
      </c>
    </row>
    <row r="7" ht="42" customHeight="1" s="90">
      <c r="B7" s="96" t="inlineStr">
        <is>
          <t>Balance Sheet, Statement of Profit and Loss, cash flow, notes with ageing schedules, borrowings split, ratios, EPS and regulatory disclosures — as per Schedule III (Division I) to the Companies Act, 2013 (as amended w.e.f. 1 April 2022).</t>
        </is>
      </c>
    </row>
    <row r="9" ht="15" customHeight="1" s="90">
      <c r="B9" s="97" t="inlineStr">
        <is>
          <t>How to use</t>
        </is>
      </c>
    </row>
    <row r="10" ht="15" customHeight="1" s="90">
      <c r="B10" s="98" t="inlineStr">
        <is>
          <t>1. Fill the Setup sheet (entity, dates, rounding, share capital).</t>
        </is>
      </c>
    </row>
    <row r="11" ht="27.75" customHeight="1" s="90">
      <c r="B11" s="98" t="inlineStr">
        <is>
          <t>2. Paste your trial balance in the TB sheet and pick a Map code for every row — the Map Guide sheet explains every code with typical ledgers.</t>
        </is>
      </c>
    </row>
    <row r="12" ht="27.75" customHeight="1" s="90">
      <c r="B12" s="98" t="inlineStr">
        <is>
          <t>3. Fill the detail grids: Borrowings, the Fixed Asset Register (FAR), EPS events and the note inputs (ageing, MSMED, contingent liabilities).</t>
        </is>
      </c>
    </row>
    <row r="13" ht="27.75" customHeight="1" s="90">
      <c r="B13" s="98" t="inlineStr">
        <is>
          <t>4. Balance Sheet, P&amp;L, notes, ratios and cash flow build themselves. Answer the Additional regulatory information questionnaire on Other Notes.</t>
        </is>
      </c>
    </row>
    <row r="14" ht="15" customHeight="1" s="90">
      <c r="B14" s="98" t="inlineStr">
        <is>
          <t>5. Open the Checks sheet — every row must say PASS before you print.</t>
        </is>
      </c>
    </row>
    <row r="15" ht="15" customHeight="1" s="90">
      <c r="B15" s="98" t="inlineStr">
        <is>
          <t>6. Blue cells are your inputs. Everything else is formula-driven.</t>
        </is>
      </c>
    </row>
    <row r="17" ht="15" customHeight="1" s="90">
      <c r="B17" s="97" t="inlineStr">
        <is>
          <t>Legend</t>
        </is>
      </c>
    </row>
    <row r="18" ht="15" customHeight="1" s="90">
      <c r="B18" s="99" t="inlineStr">
        <is>
          <t>Blue text / yellow cell = your input</t>
        </is>
      </c>
    </row>
    <row r="19" ht="15" customHeight="1" s="90">
      <c r="B19" s="100" t="inlineStr">
        <is>
          <t>Black = formula (locked)      Navy fill = column headers      Grey italics = guidance</t>
        </is>
      </c>
    </row>
    <row r="21" ht="30" customHeight="1" s="90">
      <c r="B21" s="101" t="inlineStr">
        <is>
          <t>Free forever. Updates for the next financial year are shared at calcguru.in/schedule-iii-format-of-financial-statements/</t>
        </is>
      </c>
    </row>
    <row r="23" ht="27.75" customHeight="1" s="90">
      <c r="B23" s="102" t="inlineStr">
        <is>
          <t>This template is a working tool, not professional advice. Verify every figure and disclosure against the audited books before adoption.</t>
        </is>
      </c>
    </row>
  </sheetData>
  <sheetProtection selectLockedCells="0" selectUnlockedCells="0" sheet="1" objects="0" insertRows="1" insertHyperlinks="1" autoFilter="1" scenarios="0" formatColumns="1" deleteColumns="1" insertColumns="1" pivotTables="1" deleteRows="1" formatCells="1" formatRows="1" sort="1"/>
  <mergeCells count="14">
    <mergeCell ref="B10:D10"/>
    <mergeCell ref="B11:D11"/>
    <mergeCell ref="B3:D3"/>
    <mergeCell ref="B19:D19"/>
    <mergeCell ref="B14:D14"/>
    <mergeCell ref="B23:D23"/>
    <mergeCell ref="B4:D4"/>
    <mergeCell ref="B13:D13"/>
    <mergeCell ref="B12:D12"/>
    <mergeCell ref="B21:D21"/>
    <mergeCell ref="B15:D15"/>
    <mergeCell ref="B7:D7"/>
    <mergeCell ref="B6:D6"/>
    <mergeCell ref="B2:D2"/>
  </mergeCell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tabColor rgb="FFF97316"/>
    <outlinePr summaryBelow="1" summaryRight="1"/>
    <pageSetUpPr fitToPage="0"/>
  </sheetPr>
  <dimension ref="B2:D4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9" min="1" max="1"/>
    <col width="42" customWidth="1" style="89" min="2" max="2"/>
    <col width="28" customWidth="1" style="89" min="3" max="3"/>
    <col width="60" customWidth="1" style="89" min="4" max="4"/>
  </cols>
  <sheetData>
    <row r="2" ht="17.25" customHeight="1" s="90">
      <c r="B2" s="103" t="inlineStr">
        <is>
          <t>Setup</t>
        </is>
      </c>
    </row>
    <row r="4" ht="15" customHeight="1" s="90">
      <c r="B4" s="104" t="inlineStr">
        <is>
          <t>Entity details</t>
        </is>
      </c>
    </row>
    <row r="5" ht="15" customHeight="1" s="90">
      <c r="B5" s="105" t="inlineStr">
        <is>
          <t>Entity name</t>
        </is>
      </c>
      <c r="C5" s="106" t="inlineStr">
        <is>
          <t>ABC Private Limited</t>
        </is>
      </c>
    </row>
    <row r="6" ht="15" customHeight="1" s="90">
      <c r="B6" s="105" t="inlineStr">
        <is>
          <t>CIN</t>
        </is>
      </c>
      <c r="C6" s="106" t="inlineStr">
        <is>
          <t>U12345TG2020PTC123456</t>
        </is>
      </c>
    </row>
    <row r="7" ht="15" customHeight="1" s="90">
      <c r="B7" s="105" t="inlineStr">
        <is>
          <t>Registered office (one line)</t>
        </is>
      </c>
      <c r="C7" s="106" t="inlineStr">
        <is>
          <t>Hyderabad, Telangana</t>
        </is>
      </c>
    </row>
    <row r="8" ht="15" customHeight="1" s="90">
      <c r="B8" s="105" t="inlineStr">
        <is>
          <t>Current financial year label</t>
        </is>
      </c>
      <c r="C8" s="106" t="inlineStr">
        <is>
          <t>2025-26</t>
        </is>
      </c>
    </row>
    <row r="9" ht="15" customHeight="1" s="90">
      <c r="B9" s="105" t="inlineStr">
        <is>
          <t>Balance sheet date</t>
        </is>
      </c>
      <c r="C9" s="107" t="n">
        <v>46112</v>
      </c>
      <c r="D9" s="108" t="inlineStr">
        <is>
          <t>dd-mm-yyyy</t>
        </is>
      </c>
    </row>
    <row r="10" ht="15" customHeight="1" s="90">
      <c r="B10" s="105" t="inlineStr">
        <is>
          <t>Previous year label</t>
        </is>
      </c>
      <c r="C10" s="106" t="inlineStr">
        <is>
          <t>2024-25</t>
        </is>
      </c>
    </row>
    <row r="11" ht="15" customHeight="1" s="90">
      <c r="B11" s="105" t="inlineStr">
        <is>
          <t>Previous balance sheet date</t>
        </is>
      </c>
      <c r="C11" s="107" t="n">
        <v>45747</v>
      </c>
    </row>
    <row r="13" ht="15" customHeight="1" s="90">
      <c r="B13" s="104" t="inlineStr">
        <is>
          <t>Presentation</t>
        </is>
      </c>
    </row>
    <row r="14" ht="15" customHeight="1" s="90">
      <c r="B14" s="105" t="inlineStr">
        <is>
          <t>Rounding (Sch III mandatory)</t>
        </is>
      </c>
      <c r="C14" s="106" t="inlineStr">
        <is>
          <t>Lakhs</t>
        </is>
      </c>
      <c r="D14" s="108" t="inlineStr">
        <is>
          <t>Total income &lt; Rs 100 cr: hundreds/thousands/lakhs. Rs 100 cr or more: lakhs/millions/crores.</t>
        </is>
      </c>
    </row>
    <row r="15" ht="15" customHeight="1" s="90">
      <c r="B15" s="105" t="inlineStr">
        <is>
          <t>Amounts are entered in</t>
        </is>
      </c>
      <c r="C15" s="108" t="inlineStr">
        <is>
          <t>Rupees (always paste raw rupees)</t>
        </is>
      </c>
    </row>
    <row r="16" ht="15" customHeight="1" s="90">
      <c r="B16" s="105" t="inlineStr">
        <is>
          <t>Company is an SMC (no diluted EPS disclosure)</t>
        </is>
      </c>
      <c r="C16" s="106" t="inlineStr">
        <is>
          <t>No</t>
        </is>
      </c>
    </row>
    <row r="17" ht="15" customHeight="1" s="90">
      <c r="B17" s="105" t="inlineStr">
        <is>
          <t>Cash flow statement required</t>
        </is>
      </c>
      <c r="C17" s="106" t="inlineStr">
        <is>
          <t>Yes</t>
        </is>
      </c>
      <c r="D17" s="108" t="inlineStr">
        <is>
          <t>OPC, small and dormant companies are exempt from the cash flow statement.</t>
        </is>
      </c>
    </row>
    <row r="19" ht="15" customHeight="1" s="90">
      <c r="B19" s="104" t="inlineStr">
        <is>
          <t>Share capital</t>
        </is>
      </c>
    </row>
    <row r="20" ht="15" customHeight="1" s="90">
      <c r="B20" s="105" t="inlineStr">
        <is>
          <t>Face value per equity share (Rs)</t>
        </is>
      </c>
      <c r="C20" s="109" t="n">
        <v>10</v>
      </c>
    </row>
    <row r="21" ht="15" customHeight="1" s="90">
      <c r="B21" s="105" t="inlineStr">
        <is>
          <t>Authorised equity shares (number)</t>
        </is>
      </c>
      <c r="C21" s="109" t="n">
        <v>1000000</v>
      </c>
    </row>
    <row r="22" ht="15" customHeight="1" s="90">
      <c r="B22" s="105" t="inlineStr">
        <is>
          <t>Issued and paid-up shares - current year end</t>
        </is>
      </c>
      <c r="C22" s="109" t="n">
        <v>500000</v>
      </c>
    </row>
    <row r="23" ht="15" customHeight="1" s="90">
      <c r="B23" s="105" t="inlineStr">
        <is>
          <t>Issued and paid-up shares - previous year end</t>
        </is>
      </c>
      <c r="C23" s="109" t="n">
        <v>500000</v>
      </c>
    </row>
    <row r="24" ht="15" customHeight="1" s="90">
      <c r="B24" s="105" t="inlineStr">
        <is>
          <t>Preference dividend incl tax, if any (Rs)</t>
        </is>
      </c>
      <c r="C24" s="109" t="n">
        <v>0</v>
      </c>
    </row>
    <row r="26" ht="15" customHeight="1" s="90">
      <c r="B26" s="105" t="inlineStr">
        <is>
          <t>Rounding divisor (auto)</t>
        </is>
      </c>
      <c r="C26" s="110">
        <f>IF(C14="Actual",1,IF(C14="Hundreds",100,IF(C14="Thousands",1000,IF(C14="Lakhs",100000,IF(C14="Millions",1000000,10000000)))))</f>
        <v/>
      </c>
    </row>
    <row r="27" ht="15" customHeight="1" s="90">
      <c r="B27" s="105" t="inlineStr">
        <is>
          <t>Units caption (auto)</t>
        </is>
      </c>
      <c r="C27" s="111">
        <f>"Amounts in Rs "&amp;IF(C14="Actual","",C14)</f>
        <v/>
      </c>
    </row>
    <row r="29" ht="15" customHeight="1" s="90">
      <c r="B29" s="104" t="inlineStr">
        <is>
          <t>Signatories (printed under each statement)</t>
        </is>
      </c>
    </row>
    <row r="30" ht="15" customHeight="1" s="90">
      <c r="B30" s="105" t="inlineStr">
        <is>
          <t>Audit firm name</t>
        </is>
      </c>
      <c r="C30" s="106" t="inlineStr">
        <is>
          <t>M/s XYZ &amp; Associates</t>
        </is>
      </c>
    </row>
    <row r="31" ht="15" customHeight="1" s="90">
      <c r="B31" s="105" t="inlineStr">
        <is>
          <t>Firm registration number</t>
        </is>
      </c>
      <c r="C31" s="106" t="inlineStr">
        <is>
          <t>012345S</t>
        </is>
      </c>
    </row>
    <row r="32" ht="15" customHeight="1" s="90">
      <c r="B32" s="105" t="inlineStr">
        <is>
          <t>Partner name</t>
        </is>
      </c>
      <c r="C32" s="106" t="inlineStr">
        <is>
          <t>CA Partner Name</t>
        </is>
      </c>
    </row>
    <row r="33" ht="15" customHeight="1" s="90">
      <c r="B33" s="105" t="inlineStr">
        <is>
          <t>Partner membership number</t>
        </is>
      </c>
      <c r="C33" s="106" t="inlineStr">
        <is>
          <t>123456</t>
        </is>
      </c>
    </row>
    <row r="34" ht="15" customHeight="1" s="90">
      <c r="B34" s="105" t="inlineStr">
        <is>
          <t>UDIN</t>
        </is>
      </c>
      <c r="C34" s="106" t="n"/>
    </row>
    <row r="35" ht="15" customHeight="1" s="90">
      <c r="B35" s="105" t="inlineStr">
        <is>
          <t>Director 1 name</t>
        </is>
      </c>
      <c r="C35" s="106" t="inlineStr">
        <is>
          <t>Director One</t>
        </is>
      </c>
    </row>
    <row r="36" ht="15" customHeight="1" s="90">
      <c r="B36" s="105" t="inlineStr">
        <is>
          <t>Director 1 DIN</t>
        </is>
      </c>
      <c r="C36" s="106" t="inlineStr">
        <is>
          <t>01234567</t>
        </is>
      </c>
    </row>
    <row r="37" ht="15" customHeight="1" s="90">
      <c r="B37" s="105" t="inlineStr">
        <is>
          <t>Director 2 name</t>
        </is>
      </c>
      <c r="C37" s="106" t="inlineStr">
        <is>
          <t>Director Two</t>
        </is>
      </c>
    </row>
    <row r="38" ht="15" customHeight="1" s="90">
      <c r="B38" s="105" t="inlineStr">
        <is>
          <t>Director 2 DIN</t>
        </is>
      </c>
      <c r="C38" s="106" t="inlineStr">
        <is>
          <t>07654321</t>
        </is>
      </c>
    </row>
    <row r="39" ht="15" customHeight="1" s="90">
      <c r="B39" s="105" t="inlineStr">
        <is>
          <t>Place</t>
        </is>
      </c>
      <c r="C39" s="106" t="inlineStr">
        <is>
          <t>Hyderabad</t>
        </is>
      </c>
    </row>
    <row r="40" ht="15" customHeight="1" s="90">
      <c r="B40" s="105" t="inlineStr">
        <is>
          <t>Date of signing</t>
        </is>
      </c>
      <c r="C40" s="106" t="n"/>
    </row>
    <row r="41" ht="15" customHeight="1" s="90">
      <c r="B41" s="105" t="inlineStr">
        <is>
          <t>Auditor designation</t>
        </is>
      </c>
      <c r="C41" s="106" t="inlineStr">
        <is>
          <t>Proprietor</t>
        </is>
      </c>
    </row>
    <row r="42" ht="15" customHeight="1" s="90">
      <c r="B42" s="105" t="inlineStr">
        <is>
          <t>Director 1 designation</t>
        </is>
      </c>
      <c r="C42" s="106" t="inlineStr">
        <is>
          <t>Director</t>
        </is>
      </c>
    </row>
    <row r="43" ht="15" customHeight="1" s="90">
      <c r="B43" s="105" t="inlineStr">
        <is>
          <t>Director 2 designation</t>
        </is>
      </c>
      <c r="C43" s="106" t="inlineStr">
        <is>
          <t>Director</t>
        </is>
      </c>
    </row>
  </sheetData>
  <dataValidations count="4">
    <dataValidation sqref="C14" showDropDown="0" showInputMessage="0" showErrorMessage="0" allowBlank="0" type="list" errorStyle="stop" operator="between">
      <formula1>"Actual,Hundreds,Thousands,Lakhs,Millions,Crores"</formula1>
      <formula2>0</formula2>
    </dataValidation>
    <dataValidation sqref="C16:C17" showDropDown="0" showInputMessage="0" showErrorMessage="0" allowBlank="0" type="list" errorStyle="stop" operator="between">
      <formula1>"Yes,No"</formula1>
      <formula2>0</formula2>
    </dataValidation>
    <dataValidation sqref="C41" showDropDown="0" showInputMessage="0" showErrorMessage="0" allowBlank="0" type="list" errorStyle="stop" operator="between">
      <formula1>"Proprietor,Partner"</formula1>
      <formula2>0</formula2>
    </dataValidation>
    <dataValidation sqref="C42:C43" showDropDown="0" showInputMessage="0" showErrorMessage="0" allowBlank="0" type="list" errorStyle="stop" operator="between">
      <formula1>"Director,Managing Director,Whole-time Director,Director and CFO"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B2:E4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9" min="1" max="1"/>
    <col width="10" customWidth="1" style="89" min="2" max="2"/>
    <col width="44" customWidth="1" style="89" min="3" max="3"/>
    <col width="52" customWidth="1" style="89" min="4" max="4"/>
    <col width="30" customWidth="1" style="89" min="5" max="5"/>
  </cols>
  <sheetData>
    <row r="2" ht="17.25" customHeight="1" s="90">
      <c r="B2" s="103" t="inlineStr">
        <is>
          <t>Map codes - tagging guide</t>
        </is>
      </c>
    </row>
    <row r="3" ht="15" customHeight="1" s="90">
      <c r="B3" s="108" t="inlineStr">
        <is>
          <t>One TB row = one ledger. Pick the code that says WHERE the ledger belongs; the ledger name itself becomes the line inside the note. Paste debits in the Debit column and credits in the Credit column exactly as in your TB - no signs needed.</t>
        </is>
      </c>
    </row>
    <row r="4" ht="42" customHeight="1" s="90">
      <c r="B4" s="112" t="inlineStr">
        <is>
          <t>Golden rules: (1) tag every ledger separately - each one prints as its own note line; (2) map the FULL closing balance of term loans to LTB - the workbook moves the 12-month portion to Short-term borrowings itself; (3) RS is the OPENING surplus/reserves only - the year profit is added automatically; (4) CHGINV is opening minus closing stock of FG/WIP (credit balance when stock has grown).</t>
        </is>
      </c>
    </row>
    <row r="6" ht="15" customHeight="1" s="90">
      <c r="B6" s="113" t="inlineStr">
        <is>
          <t>Code</t>
        </is>
      </c>
      <c r="C6" s="113" t="inlineStr">
        <is>
          <t>Use it for</t>
        </is>
      </c>
      <c r="D6" s="113" t="inlineStr">
        <is>
          <t>Typical ledgers you would tag</t>
        </is>
      </c>
      <c r="E6" s="113" t="inlineStr">
        <is>
          <t>Lands on</t>
        </is>
      </c>
    </row>
    <row r="7" ht="15" customHeight="1" s="90">
      <c r="B7" s="104" t="inlineStr">
        <is>
          <t>EQUITY AND LIABILITIES</t>
        </is>
      </c>
    </row>
    <row r="8" ht="25.5" customHeight="1" s="90">
      <c r="B8" s="114" t="inlineStr">
        <is>
          <t>SC</t>
        </is>
      </c>
      <c r="C8" s="111" t="inlineStr">
        <is>
          <t>Share capital</t>
        </is>
      </c>
      <c r="D8" s="115" t="inlineStr">
        <is>
          <t>Equity share capital, preference share capital</t>
        </is>
      </c>
      <c r="E8" s="116" t="inlineStr">
        <is>
          <t>BS 1(a) - Note 2</t>
        </is>
      </c>
    </row>
    <row r="9" ht="25.5" customHeight="1" s="90">
      <c r="B9" s="114" t="inlineStr">
        <is>
          <t>RS</t>
        </is>
      </c>
      <c r="C9" s="111" t="inlineStr">
        <is>
          <t>Reserves and surplus - OPENING balances</t>
        </is>
      </c>
      <c r="D9" s="115" t="inlineStr">
        <is>
          <t>Surplus in P&amp;L (opening), general reserve, securities premium, capital reserve</t>
        </is>
      </c>
      <c r="E9" s="116" t="inlineStr">
        <is>
          <t>BS 1(b) - Note 3</t>
        </is>
      </c>
    </row>
    <row r="10" ht="25.5" customHeight="1" s="90">
      <c r="B10" s="114" t="inlineStr">
        <is>
          <t>LTB</t>
        </is>
      </c>
      <c r="C10" s="111" t="inlineStr">
        <is>
          <t>Long-term borrowings - FULL loan balances</t>
        </is>
      </c>
      <c r="D10" s="115" t="inlineStr">
        <is>
          <t>Term loans, vehicle loans, housing loans, unsecured/director loans (long term)</t>
        </is>
      </c>
      <c r="E10" s="116" t="inlineStr">
        <is>
          <t>BS 2(a) and 3(a) - Notes 4 and 8</t>
        </is>
      </c>
    </row>
    <row r="11" ht="25.5" customHeight="1" s="90">
      <c r="B11" s="114" t="inlineStr">
        <is>
          <t>DTL</t>
        </is>
      </c>
      <c r="C11" s="111" t="inlineStr">
        <is>
          <t>Deferred tax liability</t>
        </is>
      </c>
      <c r="D11" s="115" t="inlineStr">
        <is>
          <t>Deferred tax liability (net)</t>
        </is>
      </c>
      <c r="E11" s="116" t="inlineStr">
        <is>
          <t>BS 2(b) - Note 5</t>
        </is>
      </c>
    </row>
    <row r="12" ht="25.5" customHeight="1" s="90">
      <c r="B12" s="114" t="inlineStr">
        <is>
          <t>OLTL</t>
        </is>
      </c>
      <c r="C12" s="111" t="inlineStr">
        <is>
          <t>Other long-term liabilities</t>
        </is>
      </c>
      <c r="D12" s="115" t="inlineStr">
        <is>
          <t>Trade/security deposits received, long-term customer advances</t>
        </is>
      </c>
      <c r="E12" s="116" t="inlineStr">
        <is>
          <t>BS 2(c) - Note 6</t>
        </is>
      </c>
    </row>
    <row r="13" ht="25.5" customHeight="1" s="90">
      <c r="B13" s="114" t="inlineStr">
        <is>
          <t>LTPROV</t>
        </is>
      </c>
      <c r="C13" s="111" t="inlineStr">
        <is>
          <t>Long-term provisions</t>
        </is>
      </c>
      <c r="D13" s="115" t="inlineStr">
        <is>
          <t>Provision for gratuity / leave encashment (long-term portion)</t>
        </is>
      </c>
      <c r="E13" s="116" t="inlineStr">
        <is>
          <t>BS 2(d) - Note 7</t>
        </is>
      </c>
    </row>
    <row r="14" ht="25.5" customHeight="1" s="90">
      <c r="B14" s="114" t="inlineStr">
        <is>
          <t>STB</t>
        </is>
      </c>
      <c r="C14" s="111" t="inlineStr">
        <is>
          <t>Short-term borrowings (repayable on demand)</t>
        </is>
      </c>
      <c r="D14" s="115" t="inlineStr">
        <is>
          <t>Cash credit, overdraft, WCDL, short-term loans</t>
        </is>
      </c>
      <c r="E14" s="116" t="inlineStr">
        <is>
          <t>BS 3(a) - Note 8</t>
        </is>
      </c>
    </row>
    <row r="15" ht="25.5" customHeight="1" s="90">
      <c r="B15" s="114" t="inlineStr">
        <is>
          <t>TPMS</t>
        </is>
      </c>
      <c r="C15" s="111" t="inlineStr">
        <is>
          <t>Trade payables - micro and small (MSME)</t>
        </is>
      </c>
      <c r="D15" s="115" t="inlineStr">
        <is>
          <t>Creditors holding Udyam registration (micro/small)</t>
        </is>
      </c>
      <c r="E15" s="116" t="inlineStr">
        <is>
          <t>BS 3(b)(A) - Note 9</t>
        </is>
      </c>
    </row>
    <row r="16" ht="25.5" customHeight="1" s="90">
      <c r="B16" s="114" t="inlineStr">
        <is>
          <t>TPOTH</t>
        </is>
      </c>
      <c r="C16" s="111" t="inlineStr">
        <is>
          <t>Trade payables - others</t>
        </is>
      </c>
      <c r="D16" s="115" t="inlineStr">
        <is>
          <t>All other sundry creditors for goods and services</t>
        </is>
      </c>
      <c r="E16" s="116" t="inlineStr">
        <is>
          <t>BS 3(b)(B) - Note 9</t>
        </is>
      </c>
    </row>
    <row r="17" ht="25.5" customHeight="1" s="90">
      <c r="B17" s="114" t="inlineStr">
        <is>
          <t>OCL</t>
        </is>
      </c>
      <c r="C17" s="111" t="inlineStr">
        <is>
          <t>Other current liabilities</t>
        </is>
      </c>
      <c r="D17" s="115" t="inlineStr">
        <is>
          <t>GST/TDS/PF payable, expenses payable, advances from customers, interest accrued</t>
        </is>
      </c>
      <c r="E17" s="116" t="inlineStr">
        <is>
          <t>BS 3(c) - Note 10</t>
        </is>
      </c>
    </row>
    <row r="18" ht="25.5" customHeight="1" s="90">
      <c r="B18" s="114" t="inlineStr">
        <is>
          <t>STPROV</t>
        </is>
      </c>
      <c r="C18" s="111" t="inlineStr">
        <is>
          <t>Short-term provisions</t>
        </is>
      </c>
      <c r="D18" s="115" t="inlineStr">
        <is>
          <t>Provision for income tax, proposed dividend, short-term employee provisions</t>
        </is>
      </c>
      <c r="E18" s="116" t="inlineStr">
        <is>
          <t>BS 3(d) - Note 11</t>
        </is>
      </c>
    </row>
    <row r="19" ht="15" customHeight="1" s="90">
      <c r="B19" s="104" t="inlineStr">
        <is>
          <t>ASSETS</t>
        </is>
      </c>
    </row>
    <row r="20" ht="25.5" customHeight="1" s="90">
      <c r="B20" s="114" t="inlineStr">
        <is>
          <t>PPE</t>
        </is>
      </c>
      <c r="C20" s="111" t="inlineStr">
        <is>
          <t>Property, plant and equipment (net block)</t>
        </is>
      </c>
      <c r="D20" s="115" t="inlineStr">
        <is>
          <t>Buildings, plant and machinery, furniture, vehicles, computers - net of depreciation</t>
        </is>
      </c>
      <c r="E20" s="116" t="inlineStr">
        <is>
          <t>BS 1(a) - Note 12</t>
        </is>
      </c>
    </row>
    <row r="21" ht="25.5" customHeight="1" s="90">
      <c r="B21" s="114" t="inlineStr">
        <is>
          <t>INTAN</t>
        </is>
      </c>
      <c r="C21" s="111" t="inlineStr">
        <is>
          <t>Intangible assets (net)</t>
        </is>
      </c>
      <c r="D21" s="115" t="inlineStr">
        <is>
          <t>Software, patents, trademarks, goodwill - net of amortisation</t>
        </is>
      </c>
      <c r="E21" s="116" t="inlineStr">
        <is>
          <t>BS 1(b) - Note 12</t>
        </is>
      </c>
    </row>
    <row r="22" ht="25.5" customHeight="1" s="90">
      <c r="B22" s="114" t="inlineStr">
        <is>
          <t>CWIP</t>
        </is>
      </c>
      <c r="C22" s="111" t="inlineStr">
        <is>
          <t>Capital work-in-progress</t>
        </is>
      </c>
      <c r="D22" s="115" t="inlineStr">
        <is>
          <t>Building/plant under construction</t>
        </is>
      </c>
      <c r="E22" s="116" t="inlineStr">
        <is>
          <t>BS 1(c) - Note 12</t>
        </is>
      </c>
    </row>
    <row r="23" ht="25.5" customHeight="1" s="90">
      <c r="B23" s="114" t="inlineStr">
        <is>
          <t>IUD</t>
        </is>
      </c>
      <c r="C23" s="111" t="inlineStr">
        <is>
          <t>Intangibles under development</t>
        </is>
      </c>
      <c r="D23" s="115" t="inlineStr">
        <is>
          <t>Software under development</t>
        </is>
      </c>
      <c r="E23" s="116" t="inlineStr">
        <is>
          <t>BS 1(d) - Note 12</t>
        </is>
      </c>
    </row>
    <row r="24" ht="25.5" customHeight="1" s="90">
      <c r="B24" s="114" t="inlineStr">
        <is>
          <t>NCINV</t>
        </is>
      </c>
      <c r="C24" s="111" t="inlineStr">
        <is>
          <t>Non-current investments</t>
        </is>
      </c>
      <c r="D24" s="115" t="inlineStr">
        <is>
          <t>Shares, mutual funds, property held long term</t>
        </is>
      </c>
      <c r="E24" s="116" t="inlineStr">
        <is>
          <t>BS 1(e) - Note 13</t>
        </is>
      </c>
    </row>
    <row r="25" ht="25.5" customHeight="1" s="90">
      <c r="B25" s="114" t="inlineStr">
        <is>
          <t>DTA</t>
        </is>
      </c>
      <c r="C25" s="111" t="inlineStr">
        <is>
          <t>Deferred tax asset</t>
        </is>
      </c>
      <c r="D25" s="115" t="inlineStr">
        <is>
          <t>Deferred tax asset (net)</t>
        </is>
      </c>
      <c r="E25" s="116" t="inlineStr">
        <is>
          <t>BS 1(f) - Note 5</t>
        </is>
      </c>
    </row>
    <row r="26" ht="25.5" customHeight="1" s="90">
      <c r="B26" s="114" t="inlineStr">
        <is>
          <t>LTLA</t>
        </is>
      </c>
      <c r="C26" s="111" t="inlineStr">
        <is>
          <t>Long-term loans and advances</t>
        </is>
      </c>
      <c r="D26" s="115" t="inlineStr">
        <is>
          <t>Security deposits given, capital advances, long-term staff loans</t>
        </is>
      </c>
      <c r="E26" s="116" t="inlineStr">
        <is>
          <t>BS 1(g) - Note 14</t>
        </is>
      </c>
    </row>
    <row r="27" ht="25.5" customHeight="1" s="90">
      <c r="B27" s="114" t="inlineStr">
        <is>
          <t>ONCA</t>
        </is>
      </c>
      <c r="C27" s="111" t="inlineStr">
        <is>
          <t>Other non-current assets</t>
        </is>
      </c>
      <c r="D27" s="115" t="inlineStr">
        <is>
          <t>Long-term trade receivables, unamortised expenses</t>
        </is>
      </c>
      <c r="E27" s="116" t="inlineStr">
        <is>
          <t>BS 1(h) - Note 14</t>
        </is>
      </c>
    </row>
    <row r="28" ht="25.5" customHeight="1" s="90">
      <c r="B28" s="114" t="inlineStr">
        <is>
          <t>CINV</t>
        </is>
      </c>
      <c r="C28" s="111" t="inlineStr">
        <is>
          <t>Current investments</t>
        </is>
      </c>
      <c r="D28" s="115" t="inlineStr">
        <is>
          <t>Liquid/short-term mutual funds</t>
        </is>
      </c>
      <c r="E28" s="116" t="inlineStr">
        <is>
          <t>BS 2(a) - Note 13A</t>
        </is>
      </c>
    </row>
    <row r="29" ht="25.5" customHeight="1" s="90">
      <c r="B29" s="114" t="inlineStr">
        <is>
          <t>INVTY</t>
        </is>
      </c>
      <c r="C29" s="111" t="inlineStr">
        <is>
          <t>Inventories</t>
        </is>
      </c>
      <c r="D29" s="115" t="inlineStr">
        <is>
          <t>Raw materials, WIP, finished goods, stock-in-trade, stores and spares</t>
        </is>
      </c>
      <c r="E29" s="116" t="inlineStr">
        <is>
          <t>BS 2(b) - Note 15</t>
        </is>
      </c>
    </row>
    <row r="30" ht="25.5" customHeight="1" s="90">
      <c r="B30" s="114" t="inlineStr">
        <is>
          <t>TR</t>
        </is>
      </c>
      <c r="C30" s="111" t="inlineStr">
        <is>
          <t>Trade receivables</t>
        </is>
      </c>
      <c r="D30" s="115" t="inlineStr">
        <is>
          <t>Sundry debtors (fill the Ageing sheet too)</t>
        </is>
      </c>
      <c r="E30" s="116" t="inlineStr">
        <is>
          <t>BS 2(c) - Note 16</t>
        </is>
      </c>
    </row>
    <row r="31" ht="25.5" customHeight="1" s="90">
      <c r="B31" s="114" t="inlineStr">
        <is>
          <t>CASH</t>
        </is>
      </c>
      <c r="C31" s="111" t="inlineStr">
        <is>
          <t>Cash and cash equivalents</t>
        </is>
      </c>
      <c r="D31" s="115" t="inlineStr">
        <is>
          <t>Cash in hand, bank current accounts, deposits under 3 months</t>
        </is>
      </c>
      <c r="E31" s="116" t="inlineStr">
        <is>
          <t>BS 2(d) - Note 17</t>
        </is>
      </c>
    </row>
    <row r="32" ht="25.5" customHeight="1" s="90">
      <c r="B32" s="114" t="inlineStr">
        <is>
          <t>STLA</t>
        </is>
      </c>
      <c r="C32" s="111" t="inlineStr">
        <is>
          <t>Short-term loans and advances</t>
        </is>
      </c>
      <c r="D32" s="115" t="inlineStr">
        <is>
          <t>Advances to suppliers, staff advances, other short-term advances</t>
        </is>
      </c>
      <c r="E32" s="116" t="inlineStr">
        <is>
          <t>BS 2(e) - Note 14A</t>
        </is>
      </c>
    </row>
    <row r="33" ht="25.5" customHeight="1" s="90">
      <c r="B33" s="114" t="inlineStr">
        <is>
          <t>OCA</t>
        </is>
      </c>
      <c r="C33" s="111" t="inlineStr">
        <is>
          <t>Other current assets</t>
        </is>
      </c>
      <c r="D33" s="115" t="inlineStr">
        <is>
          <t>Prepaid expenses, accrued income, GST/income-tax refundable</t>
        </is>
      </c>
      <c r="E33" s="116" t="inlineStr">
        <is>
          <t>BS 2(f) - Note 14B</t>
        </is>
      </c>
    </row>
    <row r="34" ht="15" customHeight="1" s="90">
      <c r="B34" s="104" t="inlineStr">
        <is>
          <t>STATEMENT OF PROFIT AND LOSS</t>
        </is>
      </c>
    </row>
    <row r="35" ht="25.5" customHeight="1" s="90">
      <c r="B35" s="114" t="inlineStr">
        <is>
          <t>REV</t>
        </is>
      </c>
      <c r="C35" s="111" t="inlineStr">
        <is>
          <t>Revenue from operations</t>
        </is>
      </c>
      <c r="D35" s="115" t="inlineStr">
        <is>
          <t>Sales, service income, job-work income - each stream as its own ledger</t>
        </is>
      </c>
      <c r="E35" s="116" t="inlineStr">
        <is>
          <t>P&amp;L I - Note 18</t>
        </is>
      </c>
    </row>
    <row r="36" ht="25.5" customHeight="1" s="90">
      <c r="B36" s="114" t="inlineStr">
        <is>
          <t>OTHINC</t>
        </is>
      </c>
      <c r="C36" s="111" t="inlineStr">
        <is>
          <t>Other income</t>
        </is>
      </c>
      <c r="D36" s="115" t="inlineStr">
        <is>
          <t>Interest received, dividend, discount received, misc income</t>
        </is>
      </c>
      <c r="E36" s="116" t="inlineStr">
        <is>
          <t>P&amp;L II - Note 19</t>
        </is>
      </c>
    </row>
    <row r="37" ht="25.5" customHeight="1" s="90">
      <c r="B37" s="114" t="inlineStr">
        <is>
          <t>MATCONS</t>
        </is>
      </c>
      <c r="C37" s="111" t="inlineStr">
        <is>
          <t>Cost of materials consumed</t>
        </is>
      </c>
      <c r="D37" s="115" t="inlineStr">
        <is>
          <t>Raw material consumed (derivation grid in Note 20)</t>
        </is>
      </c>
      <c r="E37" s="116" t="inlineStr">
        <is>
          <t>P&amp;L IV - Note 20</t>
        </is>
      </c>
    </row>
    <row r="38" ht="25.5" customHeight="1" s="90">
      <c r="B38" s="114" t="inlineStr">
        <is>
          <t>PURST</t>
        </is>
      </c>
      <c r="C38" s="111" t="inlineStr">
        <is>
          <t>Purchases of stock-in-trade</t>
        </is>
      </c>
      <c r="D38" s="115" t="inlineStr">
        <is>
          <t>Purchases for resale (trading goods)</t>
        </is>
      </c>
      <c r="E38" s="116" t="inlineStr">
        <is>
          <t>P&amp;L IV</t>
        </is>
      </c>
    </row>
    <row r="39" ht="25.5" customHeight="1" s="90">
      <c r="B39" s="114" t="inlineStr">
        <is>
          <t>CHGINV</t>
        </is>
      </c>
      <c r="C39" s="111" t="inlineStr">
        <is>
          <t>Changes in inventories</t>
        </is>
      </c>
      <c r="D39" s="115" t="inlineStr">
        <is>
          <t>Opening minus closing stock of FG/WIP/stock-in-trade</t>
        </is>
      </c>
      <c r="E39" s="116" t="inlineStr">
        <is>
          <t>P&amp;L IV</t>
        </is>
      </c>
    </row>
    <row r="40" ht="25.5" customHeight="1" s="90">
      <c r="B40" s="114" t="inlineStr">
        <is>
          <t>EMPB</t>
        </is>
      </c>
      <c r="C40" s="111" t="inlineStr">
        <is>
          <t>Employee benefits expense</t>
        </is>
      </c>
      <c r="D40" s="115" t="inlineStr">
        <is>
          <t>Salaries and wages, bonus, PF/ESI contribution, staff welfare, gratuity</t>
        </is>
      </c>
      <c r="E40" s="116" t="inlineStr">
        <is>
          <t>P&amp;L IV - Note 21</t>
        </is>
      </c>
    </row>
    <row r="41" ht="25.5" customHeight="1" s="90">
      <c r="B41" s="114" t="inlineStr">
        <is>
          <t>FINC</t>
        </is>
      </c>
      <c r="C41" s="111" t="inlineStr">
        <is>
          <t>Finance costs</t>
        </is>
      </c>
      <c r="D41" s="115" t="inlineStr">
        <is>
          <t>Interest on term loans/CC, loan processing fees, interest on statutory delays</t>
        </is>
      </c>
      <c r="E41" s="116" t="inlineStr">
        <is>
          <t>P&amp;L IV - Note 22</t>
        </is>
      </c>
    </row>
    <row r="42" ht="25.5" customHeight="1" s="90">
      <c r="B42" s="114" t="inlineStr">
        <is>
          <t>DEPAM</t>
        </is>
      </c>
      <c r="C42" s="111" t="inlineStr">
        <is>
          <t>Depreciation and amortisation</t>
        </is>
      </c>
      <c r="D42" s="115" t="inlineStr">
        <is>
          <t>Depreciation, amortisation of software</t>
        </is>
      </c>
      <c r="E42" s="116" t="inlineStr">
        <is>
          <t>P&amp;L IV - Note 12</t>
        </is>
      </c>
    </row>
    <row r="43" ht="25.5" customHeight="1" s="90">
      <c r="B43" s="114" t="inlineStr">
        <is>
          <t>OTHEXP</t>
        </is>
      </c>
      <c r="C43" s="111" t="inlineStr">
        <is>
          <t>Other expenses</t>
        </is>
      </c>
      <c r="D43" s="115" t="inlineStr">
        <is>
          <t>Rent, audit fee, consulting charges, ROC fees, pooja expenses, business promotion, travel, repairs, insurance, power, bank charges - EACH as its own ledger row</t>
        </is>
      </c>
      <c r="E43" s="116" t="inlineStr">
        <is>
          <t>P&amp;L IV - Note 23</t>
        </is>
      </c>
    </row>
    <row r="44" ht="25.5" customHeight="1" s="90">
      <c r="B44" s="114" t="inlineStr">
        <is>
          <t>EXCPI</t>
        </is>
      </c>
      <c r="C44" s="111" t="inlineStr">
        <is>
          <t>Exceptional items</t>
        </is>
      </c>
      <c r="D44" s="115" t="inlineStr">
        <is>
          <t>One-off losses/(gains) - expense positive</t>
        </is>
      </c>
      <c r="E44" s="116" t="inlineStr">
        <is>
          <t>P&amp;L VI</t>
        </is>
      </c>
    </row>
    <row r="45" ht="25.5" customHeight="1" s="90">
      <c r="B45" s="114" t="inlineStr">
        <is>
          <t>TAXCUR</t>
        </is>
      </c>
      <c r="C45" s="111" t="inlineStr">
        <is>
          <t>Current tax</t>
        </is>
      </c>
      <c r="D45" s="115" t="inlineStr">
        <is>
          <t>Provision for income tax of the year</t>
        </is>
      </c>
      <c r="E45" s="116" t="inlineStr">
        <is>
          <t>P&amp;L VIII(1)</t>
        </is>
      </c>
    </row>
    <row r="46" ht="25.5" customHeight="1" s="90">
      <c r="B46" s="114" t="inlineStr">
        <is>
          <t>TAXDEF</t>
        </is>
      </c>
      <c r="C46" s="111" t="inlineStr">
        <is>
          <t>Deferred tax</t>
        </is>
      </c>
      <c r="D46" s="115" t="inlineStr">
        <is>
          <t>Deferred tax charge (or credit as a Cr entry)</t>
        </is>
      </c>
      <c r="E46" s="116" t="inlineStr">
        <is>
          <t>P&amp;L VIII(2)</t>
        </is>
      </c>
    </row>
  </sheetData>
  <sheetProtection selectLockedCells="0" selectUnlockedCells="0" sheet="1" objects="0" insertRows="0" insertHyperlinks="1" autoFilter="0" scenarios="0" formatColumns="0" deleteColumns="1" insertColumns="1" pivotTables="1" deleteRows="0" formatCells="1" formatRows="0" sort="0" password="bbbc"/>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3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90">
      <c r="A1" s="89" t="inlineStr">
        <is>
          <t>Code</t>
        </is>
      </c>
      <c r="B1" s="89" t="inlineStr">
        <is>
          <t>Maps to</t>
        </is>
      </c>
      <c r="C1" s="89" t="inlineStr">
        <is>
          <t>Class</t>
        </is>
      </c>
    </row>
    <row r="2" ht="15" customHeight="1" s="90">
      <c r="A2" s="89" t="inlineStr">
        <is>
          <t>SC</t>
        </is>
      </c>
      <c r="B2" s="89" t="inlineStr">
        <is>
          <t>Share capital</t>
        </is>
      </c>
      <c r="C2" s="89" t="inlineStr">
        <is>
          <t>L</t>
        </is>
      </c>
    </row>
    <row r="3" ht="15" customHeight="1" s="90">
      <c r="A3" s="89" t="inlineStr">
        <is>
          <t>RS</t>
        </is>
      </c>
      <c r="B3" s="89" t="inlineStr">
        <is>
          <t>Reserves and surplus (opening)</t>
        </is>
      </c>
      <c r="C3" s="89" t="inlineStr">
        <is>
          <t>L</t>
        </is>
      </c>
    </row>
    <row r="4" ht="15" customHeight="1" s="90">
      <c r="A4" s="89" t="inlineStr">
        <is>
          <t>LTB</t>
        </is>
      </c>
      <c r="B4" s="89" t="inlineStr">
        <is>
          <t>Long-term borrowings (full loan balances)</t>
        </is>
      </c>
      <c r="C4" s="89" t="inlineStr">
        <is>
          <t>L</t>
        </is>
      </c>
    </row>
    <row r="5" ht="15" customHeight="1" s="90">
      <c r="A5" s="89" t="inlineStr">
        <is>
          <t>DTL</t>
        </is>
      </c>
      <c r="B5" s="89" t="inlineStr">
        <is>
          <t>Deferred tax liability</t>
        </is>
      </c>
      <c r="C5" s="89" t="inlineStr">
        <is>
          <t>L</t>
        </is>
      </c>
    </row>
    <row r="6" ht="15" customHeight="1" s="90">
      <c r="A6" s="89" t="inlineStr">
        <is>
          <t>OLTL</t>
        </is>
      </c>
      <c r="B6" s="89" t="inlineStr">
        <is>
          <t>Other long-term liabilities</t>
        </is>
      </c>
      <c r="C6" s="89" t="inlineStr">
        <is>
          <t>L</t>
        </is>
      </c>
    </row>
    <row r="7" ht="15" customHeight="1" s="90">
      <c r="A7" s="89" t="inlineStr">
        <is>
          <t>LTPROV</t>
        </is>
      </c>
      <c r="B7" s="89" t="inlineStr">
        <is>
          <t>Long-term provisions</t>
        </is>
      </c>
      <c r="C7" s="89" t="inlineStr">
        <is>
          <t>L</t>
        </is>
      </c>
    </row>
    <row r="8" ht="15" customHeight="1" s="90">
      <c r="A8" s="89" t="inlineStr">
        <is>
          <t>STB</t>
        </is>
      </c>
      <c r="B8" s="89" t="inlineStr">
        <is>
          <t>Short-term borrowings (CC/OD/demand)</t>
        </is>
      </c>
      <c r="C8" s="89" t="inlineStr">
        <is>
          <t>L</t>
        </is>
      </c>
    </row>
    <row r="9" ht="15" customHeight="1" s="90">
      <c r="A9" s="89" t="inlineStr">
        <is>
          <t>TPMS</t>
        </is>
      </c>
      <c r="B9" s="89" t="inlineStr">
        <is>
          <t>Trade payables - MSME</t>
        </is>
      </c>
      <c r="C9" s="89" t="inlineStr">
        <is>
          <t>L</t>
        </is>
      </c>
    </row>
    <row r="10" ht="15" customHeight="1" s="90">
      <c r="A10" s="89" t="inlineStr">
        <is>
          <t>TPOTH</t>
        </is>
      </c>
      <c r="B10" s="89" t="inlineStr">
        <is>
          <t>Trade payables - others</t>
        </is>
      </c>
      <c r="C10" s="89" t="inlineStr">
        <is>
          <t>L</t>
        </is>
      </c>
    </row>
    <row r="11" ht="15" customHeight="1" s="90">
      <c r="A11" s="89" t="inlineStr">
        <is>
          <t>OCL</t>
        </is>
      </c>
      <c r="B11" s="89" t="inlineStr">
        <is>
          <t>Other current liabilities</t>
        </is>
      </c>
      <c r="C11" s="89" t="inlineStr">
        <is>
          <t>L</t>
        </is>
      </c>
    </row>
    <row r="12" ht="15" customHeight="1" s="90">
      <c r="A12" s="89" t="inlineStr">
        <is>
          <t>STPROV</t>
        </is>
      </c>
      <c r="B12" s="89" t="inlineStr">
        <is>
          <t>Short-term provisions</t>
        </is>
      </c>
      <c r="C12" s="89" t="inlineStr">
        <is>
          <t>L</t>
        </is>
      </c>
    </row>
    <row r="13" ht="15" customHeight="1" s="90">
      <c r="A13" s="89" t="inlineStr">
        <is>
          <t>PPE</t>
        </is>
      </c>
      <c r="B13" s="89" t="inlineStr">
        <is>
          <t>Property, plant and equipment (net)</t>
        </is>
      </c>
      <c r="C13" s="89" t="inlineStr">
        <is>
          <t>A</t>
        </is>
      </c>
    </row>
    <row r="14" ht="15" customHeight="1" s="90">
      <c r="A14" s="89" t="inlineStr">
        <is>
          <t>INTAN</t>
        </is>
      </c>
      <c r="B14" s="89" t="inlineStr">
        <is>
          <t>Intangible assets (net)</t>
        </is>
      </c>
      <c r="C14" s="89" t="inlineStr">
        <is>
          <t>A</t>
        </is>
      </c>
    </row>
    <row r="15" ht="15" customHeight="1" s="90">
      <c r="A15" s="89" t="inlineStr">
        <is>
          <t>CWIP</t>
        </is>
      </c>
      <c r="B15" s="89" t="inlineStr">
        <is>
          <t>Capital work-in-progress</t>
        </is>
      </c>
      <c r="C15" s="89" t="inlineStr">
        <is>
          <t>A</t>
        </is>
      </c>
    </row>
    <row r="16" ht="15" customHeight="1" s="90">
      <c r="A16" s="89" t="inlineStr">
        <is>
          <t>IUD</t>
        </is>
      </c>
      <c r="B16" s="89" t="inlineStr">
        <is>
          <t>Intangible assets under development</t>
        </is>
      </c>
      <c r="C16" s="89" t="inlineStr">
        <is>
          <t>A</t>
        </is>
      </c>
    </row>
    <row r="17" ht="15" customHeight="1" s="90">
      <c r="A17" s="89" t="inlineStr">
        <is>
          <t>NCINV</t>
        </is>
      </c>
      <c r="B17" s="89" t="inlineStr">
        <is>
          <t>Non-current investments</t>
        </is>
      </c>
      <c r="C17" s="89" t="inlineStr">
        <is>
          <t>A</t>
        </is>
      </c>
    </row>
    <row r="18" ht="15" customHeight="1" s="90">
      <c r="A18" s="89" t="inlineStr">
        <is>
          <t>DTA</t>
        </is>
      </c>
      <c r="B18" s="89" t="inlineStr">
        <is>
          <t>Deferred tax asset</t>
        </is>
      </c>
      <c r="C18" s="89" t="inlineStr">
        <is>
          <t>A</t>
        </is>
      </c>
    </row>
    <row r="19" ht="15" customHeight="1" s="90">
      <c r="A19" s="89" t="inlineStr">
        <is>
          <t>LTLA</t>
        </is>
      </c>
      <c r="B19" s="89" t="inlineStr">
        <is>
          <t>Long-term loans and advances</t>
        </is>
      </c>
      <c r="C19" s="89" t="inlineStr">
        <is>
          <t>A</t>
        </is>
      </c>
    </row>
    <row r="20" ht="15" customHeight="1" s="90">
      <c r="A20" s="89" t="inlineStr">
        <is>
          <t>ONCA</t>
        </is>
      </c>
      <c r="B20" s="89" t="inlineStr">
        <is>
          <t>Other non-current assets</t>
        </is>
      </c>
      <c r="C20" s="89" t="inlineStr">
        <is>
          <t>A</t>
        </is>
      </c>
    </row>
    <row r="21" ht="15" customHeight="1" s="90">
      <c r="A21" s="89" t="inlineStr">
        <is>
          <t>CINV</t>
        </is>
      </c>
      <c r="B21" s="89" t="inlineStr">
        <is>
          <t>Current investments</t>
        </is>
      </c>
      <c r="C21" s="89" t="inlineStr">
        <is>
          <t>A</t>
        </is>
      </c>
    </row>
    <row r="22" ht="15" customHeight="1" s="90">
      <c r="A22" s="89" t="inlineStr">
        <is>
          <t>INVTY</t>
        </is>
      </c>
      <c r="B22" s="89" t="inlineStr">
        <is>
          <t>Inventories</t>
        </is>
      </c>
      <c r="C22" s="89" t="inlineStr">
        <is>
          <t>A</t>
        </is>
      </c>
    </row>
    <row r="23" ht="15" customHeight="1" s="90">
      <c r="A23" s="89" t="inlineStr">
        <is>
          <t>TR</t>
        </is>
      </c>
      <c r="B23" s="89" t="inlineStr">
        <is>
          <t>Trade receivables</t>
        </is>
      </c>
      <c r="C23" s="89" t="inlineStr">
        <is>
          <t>A</t>
        </is>
      </c>
    </row>
    <row r="24" ht="15" customHeight="1" s="90">
      <c r="A24" s="89" t="inlineStr">
        <is>
          <t>CASH</t>
        </is>
      </c>
      <c r="B24" s="89" t="inlineStr">
        <is>
          <t>Cash and cash equivalents</t>
        </is>
      </c>
      <c r="C24" s="89" t="inlineStr">
        <is>
          <t>A</t>
        </is>
      </c>
    </row>
    <row r="25" ht="15" customHeight="1" s="90">
      <c r="A25" s="89" t="inlineStr">
        <is>
          <t>STLA</t>
        </is>
      </c>
      <c r="B25" s="89" t="inlineStr">
        <is>
          <t>Short-term loans and advances</t>
        </is>
      </c>
      <c r="C25" s="89" t="inlineStr">
        <is>
          <t>A</t>
        </is>
      </c>
    </row>
    <row r="26" ht="15" customHeight="1" s="90">
      <c r="A26" s="89" t="inlineStr">
        <is>
          <t>OCA</t>
        </is>
      </c>
      <c r="B26" s="89" t="inlineStr">
        <is>
          <t>Other current assets</t>
        </is>
      </c>
      <c r="C26" s="89" t="inlineStr">
        <is>
          <t>A</t>
        </is>
      </c>
    </row>
    <row r="27" ht="15" customHeight="1" s="90">
      <c r="A27" s="89" t="inlineStr">
        <is>
          <t>REV</t>
        </is>
      </c>
      <c r="B27" s="89" t="inlineStr">
        <is>
          <t>Revenue from operations</t>
        </is>
      </c>
      <c r="C27" s="89" t="inlineStr">
        <is>
          <t>I</t>
        </is>
      </c>
    </row>
    <row r="28" ht="15" customHeight="1" s="90">
      <c r="A28" s="89" t="inlineStr">
        <is>
          <t>OTHINC</t>
        </is>
      </c>
      <c r="B28" s="89" t="inlineStr">
        <is>
          <t>Other income</t>
        </is>
      </c>
      <c r="C28" s="89" t="inlineStr">
        <is>
          <t>I</t>
        </is>
      </c>
    </row>
    <row r="29" ht="15" customHeight="1" s="90">
      <c r="A29" s="89" t="inlineStr">
        <is>
          <t>MATCONS</t>
        </is>
      </c>
      <c r="B29" s="89" t="inlineStr">
        <is>
          <t>Cost of materials consumed</t>
        </is>
      </c>
      <c r="C29" s="89" t="inlineStr">
        <is>
          <t>E</t>
        </is>
      </c>
    </row>
    <row r="30" ht="15" customHeight="1" s="90">
      <c r="A30" s="89" t="inlineStr">
        <is>
          <t>PURST</t>
        </is>
      </c>
      <c r="B30" s="89" t="inlineStr">
        <is>
          <t>Purchases of stock-in-trade</t>
        </is>
      </c>
      <c r="C30" s="89" t="inlineStr">
        <is>
          <t>E</t>
        </is>
      </c>
    </row>
    <row r="31" ht="15" customHeight="1" s="90">
      <c r="A31" s="89" t="inlineStr">
        <is>
          <t>CHGINV</t>
        </is>
      </c>
      <c r="B31" s="89" t="inlineStr">
        <is>
          <t>Changes in inventories of FG/WIP/stock-in-trade</t>
        </is>
      </c>
      <c r="C31" s="89" t="inlineStr">
        <is>
          <t>E</t>
        </is>
      </c>
    </row>
    <row r="32" ht="15" customHeight="1" s="90">
      <c r="A32" s="89" t="inlineStr">
        <is>
          <t>EMPB</t>
        </is>
      </c>
      <c r="B32" s="89" t="inlineStr">
        <is>
          <t>Employee benefits expense</t>
        </is>
      </c>
      <c r="C32" s="89" t="inlineStr">
        <is>
          <t>E</t>
        </is>
      </c>
    </row>
    <row r="33" ht="15" customHeight="1" s="90">
      <c r="A33" s="89" t="inlineStr">
        <is>
          <t>FINC</t>
        </is>
      </c>
      <c r="B33" s="89" t="inlineStr">
        <is>
          <t>Finance costs</t>
        </is>
      </c>
      <c r="C33" s="89" t="inlineStr">
        <is>
          <t>E</t>
        </is>
      </c>
    </row>
    <row r="34" ht="15" customHeight="1" s="90">
      <c r="A34" s="89" t="inlineStr">
        <is>
          <t>DEPAM</t>
        </is>
      </c>
      <c r="B34" s="89" t="inlineStr">
        <is>
          <t>Depreciation and amortisation</t>
        </is>
      </c>
      <c r="C34" s="89" t="inlineStr">
        <is>
          <t>E</t>
        </is>
      </c>
    </row>
    <row r="35" ht="15" customHeight="1" s="90">
      <c r="A35" s="89" t="inlineStr">
        <is>
          <t>OTHEXP</t>
        </is>
      </c>
      <c r="B35" s="89" t="inlineStr">
        <is>
          <t>Other expenses</t>
        </is>
      </c>
      <c r="C35" s="89" t="inlineStr">
        <is>
          <t>E</t>
        </is>
      </c>
    </row>
    <row r="36" ht="15" customHeight="1" s="90">
      <c r="A36" s="89" t="inlineStr">
        <is>
          <t>EXCPI</t>
        </is>
      </c>
      <c r="B36" s="89" t="inlineStr">
        <is>
          <t>Exceptional items (expense +ve)</t>
        </is>
      </c>
      <c r="C36" s="89" t="inlineStr">
        <is>
          <t>E</t>
        </is>
      </c>
    </row>
    <row r="37" ht="15" customHeight="1" s="90">
      <c r="A37" s="89" t="inlineStr">
        <is>
          <t>TAXCUR</t>
        </is>
      </c>
      <c r="B37" s="89" t="inlineStr">
        <is>
          <t>Current tax</t>
        </is>
      </c>
      <c r="C37" s="89" t="inlineStr">
        <is>
          <t>E</t>
        </is>
      </c>
    </row>
    <row r="38" ht="15" customHeight="1" s="90">
      <c r="A38" s="89" t="inlineStr">
        <is>
          <t>TAXDEF</t>
        </is>
      </c>
      <c r="B38" s="89" t="inlineStr">
        <is>
          <t>Deferred tax (charge +ve / credit -ve)</t>
        </is>
      </c>
      <c r="C38" s="89" t="inlineStr">
        <is>
          <t>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E3A8A"/>
    <outlinePr summaryBelow="1" summaryRight="1"/>
    <pageSetUpPr fitToPage="0"/>
  </sheetPr>
  <dimension ref="A2:H2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2" customWidth="1" style="89" min="1" max="1"/>
    <col width="16" customWidth="1" style="89" min="2" max="5"/>
    <col width="14" customWidth="1" style="89" min="6" max="6"/>
    <col width="40" customWidth="1" style="89" min="7" max="7"/>
    <col width="6" customWidth="1" style="89" min="8" max="8"/>
  </cols>
  <sheetData>
    <row r="2" ht="17.25" customHeight="1" s="90">
      <c r="A2" s="103" t="inlineStr">
        <is>
          <t>Trial Balance - paste and map</t>
        </is>
      </c>
    </row>
    <row r="3" ht="15" customHeight="1" s="90">
      <c r="A3" s="108" t="inlineStr">
        <is>
          <t>Paste account heads with CY and PY closing balances IN RUPEES, then pick a Map code for every row (dropdown). P&amp;L balances included (pre-closing TB). Reserves = OPENING reserves; the workbook adds the year profit itself.</t>
        </is>
      </c>
    </row>
    <row r="4" ht="15" customHeight="1" s="90">
      <c r="A4" s="104" t="inlineStr">
        <is>
          <t>New to the codes? Open the Map Guide sheet - every code with typical ledgers and where it lands.</t>
        </is>
      </c>
    </row>
    <row r="5" ht="15" customHeight="1" s="90">
      <c r="A5" s="113" t="inlineStr">
        <is>
          <t>Account head</t>
        </is>
      </c>
      <c r="B5" s="113" t="inlineStr">
        <is>
          <t>CY Debit</t>
        </is>
      </c>
      <c r="C5" s="113" t="inlineStr">
        <is>
          <t>CY Credit</t>
        </is>
      </c>
      <c r="D5" s="113" t="inlineStr">
        <is>
          <t>PY Debit</t>
        </is>
      </c>
      <c r="E5" s="113" t="inlineStr">
        <is>
          <t>PY Credit</t>
        </is>
      </c>
      <c r="F5" s="113" t="inlineStr">
        <is>
          <t>Map code</t>
        </is>
      </c>
      <c r="G5" s="113" t="inlineStr">
        <is>
          <t>Mapped to (auto)</t>
        </is>
      </c>
      <c r="H5" s="113" t="inlineStr">
        <is>
          <t>key</t>
        </is>
      </c>
    </row>
    <row r="6" ht="15" customHeight="1" s="90">
      <c r="A6" s="106" t="n"/>
      <c r="B6" s="109" t="n"/>
      <c r="C6" s="109" t="n"/>
      <c r="D6" s="109" t="n"/>
      <c r="E6" s="109" t="n"/>
      <c r="F6" s="106" t="n"/>
      <c r="G6" s="116">
        <f>IF(F6="","",IFERROR(INDEX(Map!$B$2:$B$38,MATCH(F6,Map!$A$2:$A$38,0)),"UNKNOWN CODE"))</f>
        <v/>
      </c>
      <c r="H6" s="116">
        <f>IF(F6="","",F6&amp;"#"&amp;COUNTIF($F$6:F6,F6))</f>
        <v/>
      </c>
    </row>
    <row r="7" ht="15" customHeight="1" s="90">
      <c r="A7" s="106" t="n"/>
      <c r="B7" s="109" t="n"/>
      <c r="C7" s="109" t="n"/>
      <c r="D7" s="109" t="n"/>
      <c r="E7" s="109" t="n"/>
      <c r="F7" s="106" t="n"/>
      <c r="G7" s="116">
        <f>IF(F7="","",IFERROR(INDEX(Map!$B$2:$B$38,MATCH(F7,Map!$A$2:$A$38,0)),"UNKNOWN CODE"))</f>
        <v/>
      </c>
      <c r="H7" s="116">
        <f>IF(F7="","",F7&amp;"#"&amp;COUNTIF($F$6:F7,F7))</f>
        <v/>
      </c>
    </row>
    <row r="8" ht="15" customHeight="1" s="90">
      <c r="A8" s="106" t="n"/>
      <c r="B8" s="109" t="n"/>
      <c r="C8" s="109" t="n"/>
      <c r="D8" s="109" t="n"/>
      <c r="E8" s="109" t="n"/>
      <c r="F8" s="106" t="n"/>
      <c r="G8" s="116">
        <f>IF(F8="","",IFERROR(INDEX(Map!$B$2:$B$38,MATCH(F8,Map!$A$2:$A$38,0)),"UNKNOWN CODE"))</f>
        <v/>
      </c>
      <c r="H8" s="116">
        <f>IF(F8="","",F8&amp;"#"&amp;COUNTIF($F$6:F8,F8))</f>
        <v/>
      </c>
    </row>
    <row r="9" ht="15" customHeight="1" s="90">
      <c r="A9" s="106" t="n"/>
      <c r="B9" s="109" t="n"/>
      <c r="C9" s="109" t="n"/>
      <c r="D9" s="109" t="n"/>
      <c r="E9" s="109" t="n"/>
      <c r="F9" s="106" t="n"/>
      <c r="G9" s="116">
        <f>IF(F9="","",IFERROR(INDEX(Map!$B$2:$B$38,MATCH(F9,Map!$A$2:$A$38,0)),"UNKNOWN CODE"))</f>
        <v/>
      </c>
      <c r="H9" s="116">
        <f>IF(F9="","",F9&amp;"#"&amp;COUNTIF($F$6:F9,F9))</f>
        <v/>
      </c>
    </row>
    <row r="10" ht="15" customHeight="1" s="90">
      <c r="A10" s="106" t="n"/>
      <c r="B10" s="109" t="n"/>
      <c r="C10" s="109" t="n"/>
      <c r="D10" s="109" t="n"/>
      <c r="E10" s="109" t="n"/>
      <c r="F10" s="106" t="n"/>
      <c r="G10" s="116">
        <f>IF(F10="","",IFERROR(INDEX(Map!$B$2:$B$38,MATCH(F10,Map!$A$2:$A$38,0)),"UNKNOWN CODE"))</f>
        <v/>
      </c>
      <c r="H10" s="116">
        <f>IF(F10="","",F10&amp;"#"&amp;COUNTIF($F$6:F10,F10))</f>
        <v/>
      </c>
    </row>
    <row r="11" ht="15" customHeight="1" s="90">
      <c r="A11" s="106" t="n"/>
      <c r="B11" s="109" t="n"/>
      <c r="C11" s="109" t="n"/>
      <c r="D11" s="109" t="n"/>
      <c r="E11" s="109" t="n"/>
      <c r="F11" s="106" t="n"/>
      <c r="G11" s="116">
        <f>IF(F11="","",IFERROR(INDEX(Map!$B$2:$B$38,MATCH(F11,Map!$A$2:$A$38,0)),"UNKNOWN CODE"))</f>
        <v/>
      </c>
      <c r="H11" s="116">
        <f>IF(F11="","",F11&amp;"#"&amp;COUNTIF($F$6:F11,F11))</f>
        <v/>
      </c>
    </row>
    <row r="12" ht="15" customHeight="1" s="90">
      <c r="A12" s="106" t="n"/>
      <c r="B12" s="109" t="n"/>
      <c r="C12" s="109" t="n"/>
      <c r="D12" s="109" t="n"/>
      <c r="E12" s="109" t="n"/>
      <c r="F12" s="106" t="n"/>
      <c r="G12" s="116">
        <f>IF(F12="","",IFERROR(INDEX(Map!$B$2:$B$38,MATCH(F12,Map!$A$2:$A$38,0)),"UNKNOWN CODE"))</f>
        <v/>
      </c>
      <c r="H12" s="116">
        <f>IF(F12="","",F12&amp;"#"&amp;COUNTIF($F$6:F12,F12))</f>
        <v/>
      </c>
    </row>
    <row r="13" ht="15" customHeight="1" s="90">
      <c r="A13" s="106" t="n"/>
      <c r="B13" s="109" t="n"/>
      <c r="C13" s="109" t="n"/>
      <c r="D13" s="109" t="n"/>
      <c r="E13" s="109" t="n"/>
      <c r="F13" s="106" t="n"/>
      <c r="G13" s="116">
        <f>IF(F13="","",IFERROR(INDEX(Map!$B$2:$B$38,MATCH(F13,Map!$A$2:$A$38,0)),"UNKNOWN CODE"))</f>
        <v/>
      </c>
      <c r="H13" s="116">
        <f>IF(F13="","",F13&amp;"#"&amp;COUNTIF($F$6:F13,F13))</f>
        <v/>
      </c>
    </row>
    <row r="14" ht="15" customHeight="1" s="90">
      <c r="A14" s="106" t="n"/>
      <c r="B14" s="109" t="n"/>
      <c r="C14" s="109" t="n"/>
      <c r="D14" s="109" t="n"/>
      <c r="E14" s="109" t="n"/>
      <c r="F14" s="106" t="n"/>
      <c r="G14" s="116">
        <f>IF(F14="","",IFERROR(INDEX(Map!$B$2:$B$38,MATCH(F14,Map!$A$2:$A$38,0)),"UNKNOWN CODE"))</f>
        <v/>
      </c>
      <c r="H14" s="116">
        <f>IF(F14="","",F14&amp;"#"&amp;COUNTIF($F$6:F14,F14))</f>
        <v/>
      </c>
    </row>
    <row r="15" ht="15" customHeight="1" s="90">
      <c r="A15" s="106" t="n"/>
      <c r="B15" s="109" t="n"/>
      <c r="C15" s="109" t="n"/>
      <c r="D15" s="109" t="n"/>
      <c r="E15" s="109" t="n"/>
      <c r="F15" s="106" t="n"/>
      <c r="G15" s="116">
        <f>IF(F15="","",IFERROR(INDEX(Map!$B$2:$B$38,MATCH(F15,Map!$A$2:$A$38,0)),"UNKNOWN CODE"))</f>
        <v/>
      </c>
      <c r="H15" s="116">
        <f>IF(F15="","",F15&amp;"#"&amp;COUNTIF($F$6:F15,F15))</f>
        <v/>
      </c>
    </row>
    <row r="16" ht="15" customHeight="1" s="90">
      <c r="A16" s="106" t="n"/>
      <c r="B16" s="109" t="n"/>
      <c r="C16" s="109" t="n"/>
      <c r="D16" s="109" t="n"/>
      <c r="E16" s="109" t="n"/>
      <c r="F16" s="106" t="n"/>
      <c r="G16" s="116">
        <f>IF(F16="","",IFERROR(INDEX(Map!$B$2:$B$38,MATCH(F16,Map!$A$2:$A$38,0)),"UNKNOWN CODE"))</f>
        <v/>
      </c>
      <c r="H16" s="116">
        <f>IF(F16="","",F16&amp;"#"&amp;COUNTIF($F$6:F16,F16))</f>
        <v/>
      </c>
    </row>
    <row r="17" ht="15" customHeight="1" s="90">
      <c r="A17" s="106" t="n"/>
      <c r="B17" s="109" t="n"/>
      <c r="C17" s="109" t="n"/>
      <c r="D17" s="109" t="n"/>
      <c r="E17" s="109" t="n"/>
      <c r="F17" s="106" t="n"/>
      <c r="G17" s="116">
        <f>IF(F17="","",IFERROR(INDEX(Map!$B$2:$B$38,MATCH(F17,Map!$A$2:$A$38,0)),"UNKNOWN CODE"))</f>
        <v/>
      </c>
      <c r="H17" s="116">
        <f>IF(F17="","",F17&amp;"#"&amp;COUNTIF($F$6:F17,F17))</f>
        <v/>
      </c>
    </row>
    <row r="18" ht="15" customHeight="1" s="90">
      <c r="A18" s="106" t="n"/>
      <c r="B18" s="109" t="n"/>
      <c r="C18" s="109" t="n"/>
      <c r="D18" s="109" t="n"/>
      <c r="E18" s="109" t="n"/>
      <c r="F18" s="106" t="n"/>
      <c r="G18" s="116">
        <f>IF(F18="","",IFERROR(INDEX(Map!$B$2:$B$38,MATCH(F18,Map!$A$2:$A$38,0)),"UNKNOWN CODE"))</f>
        <v/>
      </c>
      <c r="H18" s="116">
        <f>IF(F18="","",F18&amp;"#"&amp;COUNTIF($F$6:F18,F18))</f>
        <v/>
      </c>
    </row>
    <row r="19" ht="15" customHeight="1" s="90">
      <c r="A19" s="106" t="n"/>
      <c r="B19" s="109" t="n"/>
      <c r="C19" s="109" t="n"/>
      <c r="D19" s="109" t="n"/>
      <c r="E19" s="109" t="n"/>
      <c r="F19" s="106" t="n"/>
      <c r="G19" s="116">
        <f>IF(F19="","",IFERROR(INDEX(Map!$B$2:$B$38,MATCH(F19,Map!$A$2:$A$38,0)),"UNKNOWN CODE"))</f>
        <v/>
      </c>
      <c r="H19" s="116">
        <f>IF(F19="","",F19&amp;"#"&amp;COUNTIF($F$6:F19,F19))</f>
        <v/>
      </c>
    </row>
    <row r="20" ht="15" customHeight="1" s="90">
      <c r="A20" s="106" t="n"/>
      <c r="B20" s="109" t="n"/>
      <c r="C20" s="109" t="n"/>
      <c r="D20" s="109" t="n"/>
      <c r="E20" s="109" t="n"/>
      <c r="F20" s="106" t="n"/>
      <c r="G20" s="116">
        <f>IF(F20="","",IFERROR(INDEX(Map!$B$2:$B$38,MATCH(F20,Map!$A$2:$A$38,0)),"UNKNOWN CODE"))</f>
        <v/>
      </c>
      <c r="H20" s="116">
        <f>IF(F20="","",F20&amp;"#"&amp;COUNTIF($F$6:F20,F20))</f>
        <v/>
      </c>
    </row>
    <row r="21" ht="15" customHeight="1" s="90">
      <c r="A21" s="106" t="n"/>
      <c r="B21" s="109" t="n"/>
      <c r="C21" s="109" t="n"/>
      <c r="D21" s="109" t="n"/>
      <c r="E21" s="109" t="n"/>
      <c r="F21" s="106" t="n"/>
      <c r="G21" s="116">
        <f>IF(F21="","",IFERROR(INDEX(Map!$B$2:$B$38,MATCH(F21,Map!$A$2:$A$38,0)),"UNKNOWN CODE"))</f>
        <v/>
      </c>
      <c r="H21" s="116">
        <f>IF(F21="","",F21&amp;"#"&amp;COUNTIF($F$6:F21,F21))</f>
        <v/>
      </c>
    </row>
    <row r="22" ht="15" customHeight="1" s="90">
      <c r="A22" s="106" t="n"/>
      <c r="B22" s="109" t="n"/>
      <c r="C22" s="109" t="n"/>
      <c r="D22" s="109" t="n"/>
      <c r="E22" s="109" t="n"/>
      <c r="F22" s="106" t="n"/>
      <c r="G22" s="116">
        <f>IF(F22="","",IFERROR(INDEX(Map!$B$2:$B$38,MATCH(F22,Map!$A$2:$A$38,0)),"UNKNOWN CODE"))</f>
        <v/>
      </c>
      <c r="H22" s="116">
        <f>IF(F22="","",F22&amp;"#"&amp;COUNTIF($F$6:F22,F22))</f>
        <v/>
      </c>
    </row>
    <row r="23" ht="15" customHeight="1" s="90">
      <c r="A23" s="106" t="n"/>
      <c r="B23" s="109" t="n"/>
      <c r="C23" s="109" t="n"/>
      <c r="D23" s="109" t="n"/>
      <c r="E23" s="109" t="n"/>
      <c r="F23" s="106" t="n"/>
      <c r="G23" s="116">
        <f>IF(F23="","",IFERROR(INDEX(Map!$B$2:$B$38,MATCH(F23,Map!$A$2:$A$38,0)),"UNKNOWN CODE"))</f>
        <v/>
      </c>
      <c r="H23" s="116">
        <f>IF(F23="","",F23&amp;"#"&amp;COUNTIF($F$6:F23,F23))</f>
        <v/>
      </c>
    </row>
    <row r="24" ht="15" customHeight="1" s="90">
      <c r="A24" s="106" t="n"/>
      <c r="B24" s="109" t="n"/>
      <c r="C24" s="109" t="n"/>
      <c r="D24" s="109" t="n"/>
      <c r="E24" s="109" t="n"/>
      <c r="F24" s="106" t="n"/>
      <c r="G24" s="116">
        <f>IF(F24="","",IFERROR(INDEX(Map!$B$2:$B$38,MATCH(F24,Map!$A$2:$A$38,0)),"UNKNOWN CODE"))</f>
        <v/>
      </c>
      <c r="H24" s="116">
        <f>IF(F24="","",F24&amp;"#"&amp;COUNTIF($F$6:F24,F24))</f>
        <v/>
      </c>
    </row>
    <row r="25" ht="15" customHeight="1" s="90">
      <c r="A25" s="106" t="n"/>
      <c r="B25" s="109" t="n"/>
      <c r="C25" s="109" t="n"/>
      <c r="D25" s="109" t="n"/>
      <c r="E25" s="109" t="n"/>
      <c r="F25" s="106" t="n"/>
      <c r="G25" s="116">
        <f>IF(F25="","",IFERROR(INDEX(Map!$B$2:$B$38,MATCH(F25,Map!$A$2:$A$38,0)),"UNKNOWN CODE"))</f>
        <v/>
      </c>
      <c r="H25" s="116">
        <f>IF(F25="","",F25&amp;"#"&amp;COUNTIF($F$6:F25,F25))</f>
        <v/>
      </c>
    </row>
    <row r="26" ht="15" customHeight="1" s="90">
      <c r="A26" s="106" t="n"/>
      <c r="B26" s="109" t="n"/>
      <c r="C26" s="109" t="n"/>
      <c r="D26" s="109" t="n"/>
      <c r="E26" s="109" t="n"/>
      <c r="F26" s="106" t="n"/>
      <c r="G26" s="116">
        <f>IF(F26="","",IFERROR(INDEX(Map!$B$2:$B$38,MATCH(F26,Map!$A$2:$A$38,0)),"UNKNOWN CODE"))</f>
        <v/>
      </c>
      <c r="H26" s="116">
        <f>IF(F26="","",F26&amp;"#"&amp;COUNTIF($F$6:F26,F26))</f>
        <v/>
      </c>
    </row>
    <row r="27" ht="15" customHeight="1" s="90">
      <c r="A27" s="106" t="n"/>
      <c r="B27" s="109" t="n"/>
      <c r="C27" s="109" t="n"/>
      <c r="D27" s="109" t="n"/>
      <c r="E27" s="109" t="n"/>
      <c r="F27" s="106" t="n"/>
      <c r="G27" s="116">
        <f>IF(F27="","",IFERROR(INDEX(Map!$B$2:$B$38,MATCH(F27,Map!$A$2:$A$38,0)),"UNKNOWN CODE"))</f>
        <v/>
      </c>
      <c r="H27" s="116">
        <f>IF(F27="","",F27&amp;"#"&amp;COUNTIF($F$6:F27,F27))</f>
        <v/>
      </c>
    </row>
    <row r="28" ht="15" customHeight="1" s="90">
      <c r="A28" s="106" t="n"/>
      <c r="B28" s="109" t="n"/>
      <c r="C28" s="109" t="n"/>
      <c r="D28" s="109" t="n"/>
      <c r="E28" s="109" t="n"/>
      <c r="F28" s="106" t="n"/>
      <c r="G28" s="116">
        <f>IF(F28="","",IFERROR(INDEX(Map!$B$2:$B$38,MATCH(F28,Map!$A$2:$A$38,0)),"UNKNOWN CODE"))</f>
        <v/>
      </c>
      <c r="H28" s="116">
        <f>IF(F28="","",F28&amp;"#"&amp;COUNTIF($F$6:F28,F28))</f>
        <v/>
      </c>
    </row>
    <row r="29" ht="15" customHeight="1" s="90">
      <c r="A29" s="106" t="n"/>
      <c r="B29" s="109" t="n"/>
      <c r="C29" s="109" t="n"/>
      <c r="D29" s="109" t="n"/>
      <c r="E29" s="109" t="n"/>
      <c r="F29" s="106" t="n"/>
      <c r="G29" s="116">
        <f>IF(F29="","",IFERROR(INDEX(Map!$B$2:$B$38,MATCH(F29,Map!$A$2:$A$38,0)),"UNKNOWN CODE"))</f>
        <v/>
      </c>
      <c r="H29" s="116">
        <f>IF(F29="","",F29&amp;"#"&amp;COUNTIF($F$6:F29,F29))</f>
        <v/>
      </c>
    </row>
    <row r="30" ht="15" customHeight="1" s="90">
      <c r="A30" s="106" t="n"/>
      <c r="B30" s="109" t="n"/>
      <c r="C30" s="109" t="n"/>
      <c r="D30" s="109" t="n"/>
      <c r="E30" s="109" t="n"/>
      <c r="F30" s="106" t="n"/>
      <c r="G30" s="116">
        <f>IF(F30="","",IFERROR(INDEX(Map!$B$2:$B$38,MATCH(F30,Map!$A$2:$A$38,0)),"UNKNOWN CODE"))</f>
        <v/>
      </c>
      <c r="H30" s="116">
        <f>IF(F30="","",F30&amp;"#"&amp;COUNTIF($F$6:F30,F30))</f>
        <v/>
      </c>
    </row>
    <row r="31" ht="15" customHeight="1" s="90">
      <c r="A31" s="106" t="n"/>
      <c r="B31" s="109" t="n"/>
      <c r="C31" s="109" t="n"/>
      <c r="D31" s="109" t="n"/>
      <c r="E31" s="109" t="n"/>
      <c r="F31" s="106" t="n"/>
      <c r="G31" s="116">
        <f>IF(F31="","",IFERROR(INDEX(Map!$B$2:$B$38,MATCH(F31,Map!$A$2:$A$38,0)),"UNKNOWN CODE"))</f>
        <v/>
      </c>
      <c r="H31" s="116">
        <f>IF(F31="","",F31&amp;"#"&amp;COUNTIF($F$6:F31,F31))</f>
        <v/>
      </c>
    </row>
    <row r="32" ht="15" customHeight="1" s="90">
      <c r="A32" s="106" t="n"/>
      <c r="B32" s="109" t="n"/>
      <c r="C32" s="109" t="n"/>
      <c r="D32" s="109" t="n"/>
      <c r="E32" s="109" t="n"/>
      <c r="F32" s="106" t="n"/>
      <c r="G32" s="116">
        <f>IF(F32="","",IFERROR(INDEX(Map!$B$2:$B$38,MATCH(F32,Map!$A$2:$A$38,0)),"UNKNOWN CODE"))</f>
        <v/>
      </c>
      <c r="H32" s="116">
        <f>IF(F32="","",F32&amp;"#"&amp;COUNTIF($F$6:F32,F32))</f>
        <v/>
      </c>
    </row>
    <row r="33" ht="15" customHeight="1" s="90">
      <c r="A33" s="106" t="n"/>
      <c r="B33" s="109" t="n"/>
      <c r="C33" s="109" t="n"/>
      <c r="D33" s="109" t="n"/>
      <c r="E33" s="109" t="n"/>
      <c r="F33" s="106" t="n"/>
      <c r="G33" s="116">
        <f>IF(F33="","",IFERROR(INDEX(Map!$B$2:$B$38,MATCH(F33,Map!$A$2:$A$38,0)),"UNKNOWN CODE"))</f>
        <v/>
      </c>
      <c r="H33" s="116">
        <f>IF(F33="","",F33&amp;"#"&amp;COUNTIF($F$6:F33,F33))</f>
        <v/>
      </c>
    </row>
    <row r="34" ht="15" customHeight="1" s="90">
      <c r="A34" s="106" t="n"/>
      <c r="B34" s="109" t="n"/>
      <c r="C34" s="109" t="n"/>
      <c r="D34" s="109" t="n"/>
      <c r="E34" s="109" t="n"/>
      <c r="F34" s="106" t="n"/>
      <c r="G34" s="116">
        <f>IF(F34="","",IFERROR(INDEX(Map!$B$2:$B$38,MATCH(F34,Map!$A$2:$A$38,0)),"UNKNOWN CODE"))</f>
        <v/>
      </c>
      <c r="H34" s="116">
        <f>IF(F34="","",F34&amp;"#"&amp;COUNTIF($F$6:F34,F34))</f>
        <v/>
      </c>
    </row>
    <row r="35" ht="15" customHeight="1" s="90">
      <c r="A35" s="106" t="n"/>
      <c r="B35" s="109" t="n"/>
      <c r="C35" s="109" t="n"/>
      <c r="D35" s="109" t="n"/>
      <c r="E35" s="109" t="n"/>
      <c r="F35" s="106" t="n"/>
      <c r="G35" s="116">
        <f>IF(F35="","",IFERROR(INDEX(Map!$B$2:$B$38,MATCH(F35,Map!$A$2:$A$38,0)),"UNKNOWN CODE"))</f>
        <v/>
      </c>
      <c r="H35" s="116">
        <f>IF(F35="","",F35&amp;"#"&amp;COUNTIF($F$6:F35,F35))</f>
        <v/>
      </c>
    </row>
    <row r="36" ht="15" customHeight="1" s="90">
      <c r="A36" s="106" t="n"/>
      <c r="B36" s="109" t="n"/>
      <c r="C36" s="109" t="n"/>
      <c r="D36" s="109" t="n"/>
      <c r="E36" s="109" t="n"/>
      <c r="F36" s="106" t="n"/>
      <c r="G36" s="116">
        <f>IF(F36="","",IFERROR(INDEX(Map!$B$2:$B$38,MATCH(F36,Map!$A$2:$A$38,0)),"UNKNOWN CODE"))</f>
        <v/>
      </c>
      <c r="H36" s="116">
        <f>IF(F36="","",F36&amp;"#"&amp;COUNTIF($F$6:F36,F36))</f>
        <v/>
      </c>
    </row>
    <row r="37" ht="15" customHeight="1" s="90">
      <c r="A37" s="106" t="n"/>
      <c r="B37" s="109" t="n"/>
      <c r="C37" s="109" t="n"/>
      <c r="D37" s="109" t="n"/>
      <c r="E37" s="109" t="n"/>
      <c r="F37" s="106" t="n"/>
      <c r="G37" s="116">
        <f>IF(F37="","",IFERROR(INDEX(Map!$B$2:$B$38,MATCH(F37,Map!$A$2:$A$38,0)),"UNKNOWN CODE"))</f>
        <v/>
      </c>
      <c r="H37" s="116">
        <f>IF(F37="","",F37&amp;"#"&amp;COUNTIF($F$6:F37,F37))</f>
        <v/>
      </c>
    </row>
    <row r="38" ht="15" customHeight="1" s="90">
      <c r="A38" s="106" t="n"/>
      <c r="B38" s="109" t="n"/>
      <c r="C38" s="109" t="n"/>
      <c r="D38" s="109" t="n"/>
      <c r="E38" s="109" t="n"/>
      <c r="F38" s="106" t="n"/>
      <c r="G38" s="116">
        <f>IF(F38="","",IFERROR(INDEX(Map!$B$2:$B$38,MATCH(F38,Map!$A$2:$A$38,0)),"UNKNOWN CODE"))</f>
        <v/>
      </c>
      <c r="H38" s="116">
        <f>IF(F38="","",F38&amp;"#"&amp;COUNTIF($F$6:F38,F38))</f>
        <v/>
      </c>
    </row>
    <row r="39" ht="15" customHeight="1" s="90">
      <c r="A39" s="106" t="n"/>
      <c r="B39" s="109" t="n"/>
      <c r="C39" s="109" t="n"/>
      <c r="D39" s="109" t="n"/>
      <c r="E39" s="109" t="n"/>
      <c r="F39" s="106" t="n"/>
      <c r="G39" s="116">
        <f>IF(F39="","",IFERROR(INDEX(Map!$B$2:$B$38,MATCH(F39,Map!$A$2:$A$38,0)),"UNKNOWN CODE"))</f>
        <v/>
      </c>
      <c r="H39" s="116">
        <f>IF(F39="","",F39&amp;"#"&amp;COUNTIF($F$6:F39,F39))</f>
        <v/>
      </c>
    </row>
    <row r="40" ht="15" customHeight="1" s="90">
      <c r="A40" s="106" t="n"/>
      <c r="B40" s="109" t="n"/>
      <c r="C40" s="109" t="n"/>
      <c r="D40" s="109" t="n"/>
      <c r="E40" s="109" t="n"/>
      <c r="F40" s="106" t="n"/>
      <c r="G40" s="116">
        <f>IF(F40="","",IFERROR(INDEX(Map!$B$2:$B$38,MATCH(F40,Map!$A$2:$A$38,0)),"UNKNOWN CODE"))</f>
        <v/>
      </c>
      <c r="H40" s="116">
        <f>IF(F40="","",F40&amp;"#"&amp;COUNTIF($F$6:F40,F40))</f>
        <v/>
      </c>
    </row>
    <row r="41" ht="15" customHeight="1" s="90">
      <c r="A41" s="106" t="n"/>
      <c r="B41" s="109" t="n"/>
      <c r="C41" s="109" t="n"/>
      <c r="D41" s="109" t="n"/>
      <c r="E41" s="109" t="n"/>
      <c r="F41" s="106" t="n"/>
      <c r="G41" s="116">
        <f>IF(F41="","",IFERROR(INDEX(Map!$B$2:$B$38,MATCH(F41,Map!$A$2:$A$38,0)),"UNKNOWN CODE"))</f>
        <v/>
      </c>
      <c r="H41" s="116">
        <f>IF(F41="","",F41&amp;"#"&amp;COUNTIF($F$6:F41,F41))</f>
        <v/>
      </c>
    </row>
    <row r="42" ht="15" customHeight="1" s="90">
      <c r="A42" s="106" t="n"/>
      <c r="B42" s="109" t="n"/>
      <c r="C42" s="109" t="n"/>
      <c r="D42" s="109" t="n"/>
      <c r="E42" s="109" t="n"/>
      <c r="F42" s="106" t="n"/>
      <c r="G42" s="116">
        <f>IF(F42="","",IFERROR(INDEX(Map!$B$2:$B$38,MATCH(F42,Map!$A$2:$A$38,0)),"UNKNOWN CODE"))</f>
        <v/>
      </c>
      <c r="H42" s="116">
        <f>IF(F42="","",F42&amp;"#"&amp;COUNTIF($F$6:F42,F42))</f>
        <v/>
      </c>
    </row>
    <row r="43" ht="15" customHeight="1" s="90">
      <c r="A43" s="106" t="n"/>
      <c r="B43" s="109" t="n"/>
      <c r="C43" s="109" t="n"/>
      <c r="D43" s="109" t="n"/>
      <c r="E43" s="109" t="n"/>
      <c r="F43" s="106" t="n"/>
      <c r="G43" s="116">
        <f>IF(F43="","",IFERROR(INDEX(Map!$B$2:$B$38,MATCH(F43,Map!$A$2:$A$38,0)),"UNKNOWN CODE"))</f>
        <v/>
      </c>
      <c r="H43" s="116">
        <f>IF(F43="","",F43&amp;"#"&amp;COUNTIF($F$6:F43,F43))</f>
        <v/>
      </c>
    </row>
    <row r="44" ht="15" customHeight="1" s="90">
      <c r="A44" s="106" t="n"/>
      <c r="B44" s="109" t="n"/>
      <c r="C44" s="109" t="n"/>
      <c r="D44" s="109" t="n"/>
      <c r="E44" s="109" t="n"/>
      <c r="F44" s="106" t="n"/>
      <c r="G44" s="116">
        <f>IF(F44="","",IFERROR(INDEX(Map!$B$2:$B$38,MATCH(F44,Map!$A$2:$A$38,0)),"UNKNOWN CODE"))</f>
        <v/>
      </c>
      <c r="H44" s="116">
        <f>IF(F44="","",F44&amp;"#"&amp;COUNTIF($F$6:F44,F44))</f>
        <v/>
      </c>
    </row>
    <row r="45" ht="15" customHeight="1" s="90">
      <c r="A45" s="106" t="n"/>
      <c r="B45" s="109" t="n"/>
      <c r="C45" s="109" t="n"/>
      <c r="D45" s="109" t="n"/>
      <c r="E45" s="109" t="n"/>
      <c r="F45" s="106" t="n"/>
      <c r="G45" s="116">
        <f>IF(F45="","",IFERROR(INDEX(Map!$B$2:$B$38,MATCH(F45,Map!$A$2:$A$38,0)),"UNKNOWN CODE"))</f>
        <v/>
      </c>
      <c r="H45" s="116">
        <f>IF(F45="","",F45&amp;"#"&amp;COUNTIF($F$6:F45,F45))</f>
        <v/>
      </c>
    </row>
    <row r="46" ht="15" customHeight="1" s="90">
      <c r="A46" s="106" t="n"/>
      <c r="B46" s="109" t="n"/>
      <c r="C46" s="109" t="n"/>
      <c r="D46" s="109" t="n"/>
      <c r="E46" s="109" t="n"/>
      <c r="F46" s="106" t="n"/>
      <c r="G46" s="116">
        <f>IF(F46="","",IFERROR(INDEX(Map!$B$2:$B$38,MATCH(F46,Map!$A$2:$A$38,0)),"UNKNOWN CODE"))</f>
        <v/>
      </c>
      <c r="H46" s="116">
        <f>IF(F46="","",F46&amp;"#"&amp;COUNTIF($F$6:F46,F46))</f>
        <v/>
      </c>
    </row>
    <row r="47" ht="15" customHeight="1" s="90">
      <c r="A47" s="106" t="n"/>
      <c r="B47" s="109" t="n"/>
      <c r="C47" s="109" t="n"/>
      <c r="D47" s="109" t="n"/>
      <c r="E47" s="109" t="n"/>
      <c r="F47" s="106" t="n"/>
      <c r="G47" s="116">
        <f>IF(F47="","",IFERROR(INDEX(Map!$B$2:$B$38,MATCH(F47,Map!$A$2:$A$38,0)),"UNKNOWN CODE"))</f>
        <v/>
      </c>
      <c r="H47" s="116">
        <f>IF(F47="","",F47&amp;"#"&amp;COUNTIF($F$6:F47,F47))</f>
        <v/>
      </c>
    </row>
    <row r="48" ht="15" customHeight="1" s="90">
      <c r="A48" s="106" t="n"/>
      <c r="B48" s="109" t="n"/>
      <c r="C48" s="109" t="n"/>
      <c r="D48" s="109" t="n"/>
      <c r="E48" s="109" t="n"/>
      <c r="F48" s="106" t="n"/>
      <c r="G48" s="116">
        <f>IF(F48="","",IFERROR(INDEX(Map!$B$2:$B$38,MATCH(F48,Map!$A$2:$A$38,0)),"UNKNOWN CODE"))</f>
        <v/>
      </c>
      <c r="H48" s="116">
        <f>IF(F48="","",F48&amp;"#"&amp;COUNTIF($F$6:F48,F48))</f>
        <v/>
      </c>
    </row>
    <row r="49" ht="15" customHeight="1" s="90">
      <c r="A49" s="106" t="n"/>
      <c r="B49" s="109" t="n"/>
      <c r="C49" s="109" t="n"/>
      <c r="D49" s="109" t="n"/>
      <c r="E49" s="109" t="n"/>
      <c r="F49" s="106" t="n"/>
      <c r="G49" s="116">
        <f>IF(F49="","",IFERROR(INDEX(Map!$B$2:$B$38,MATCH(F49,Map!$A$2:$A$38,0)),"UNKNOWN CODE"))</f>
        <v/>
      </c>
      <c r="H49" s="116">
        <f>IF(F49="","",F49&amp;"#"&amp;COUNTIF($F$6:F49,F49))</f>
        <v/>
      </c>
    </row>
    <row r="50" ht="15" customHeight="1" s="90">
      <c r="A50" s="106" t="n"/>
      <c r="B50" s="109" t="n"/>
      <c r="C50" s="109" t="n"/>
      <c r="D50" s="109" t="n"/>
      <c r="E50" s="109" t="n"/>
      <c r="F50" s="106" t="n"/>
      <c r="G50" s="116">
        <f>IF(F50="","",IFERROR(INDEX(Map!$B$2:$B$38,MATCH(F50,Map!$A$2:$A$38,0)),"UNKNOWN CODE"))</f>
        <v/>
      </c>
      <c r="H50" s="116">
        <f>IF(F50="","",F50&amp;"#"&amp;COUNTIF($F$6:F50,F50))</f>
        <v/>
      </c>
    </row>
    <row r="51" ht="15" customHeight="1" s="90">
      <c r="A51" s="106" t="n"/>
      <c r="B51" s="109" t="n"/>
      <c r="C51" s="109" t="n"/>
      <c r="D51" s="109" t="n"/>
      <c r="E51" s="109" t="n"/>
      <c r="F51" s="106" t="n"/>
      <c r="G51" s="116">
        <f>IF(F51="","",IFERROR(INDEX(Map!$B$2:$B$38,MATCH(F51,Map!$A$2:$A$38,0)),"UNKNOWN CODE"))</f>
        <v/>
      </c>
      <c r="H51" s="116">
        <f>IF(F51="","",F51&amp;"#"&amp;COUNTIF($F$6:F51,F51))</f>
        <v/>
      </c>
    </row>
    <row r="52" ht="15" customHeight="1" s="90">
      <c r="A52" s="106" t="n"/>
      <c r="B52" s="109" t="n"/>
      <c r="C52" s="109" t="n"/>
      <c r="D52" s="109" t="n"/>
      <c r="E52" s="109" t="n"/>
      <c r="F52" s="106" t="n"/>
      <c r="G52" s="116">
        <f>IF(F52="","",IFERROR(INDEX(Map!$B$2:$B$38,MATCH(F52,Map!$A$2:$A$38,0)),"UNKNOWN CODE"))</f>
        <v/>
      </c>
      <c r="H52" s="116">
        <f>IF(F52="","",F52&amp;"#"&amp;COUNTIF($F$6:F52,F52))</f>
        <v/>
      </c>
    </row>
    <row r="53" ht="15" customHeight="1" s="90">
      <c r="A53" s="106" t="n"/>
      <c r="B53" s="109" t="n"/>
      <c r="C53" s="109" t="n"/>
      <c r="D53" s="109" t="n"/>
      <c r="E53" s="109" t="n"/>
      <c r="F53" s="106" t="n"/>
      <c r="G53" s="116">
        <f>IF(F53="","",IFERROR(INDEX(Map!$B$2:$B$38,MATCH(F53,Map!$A$2:$A$38,0)),"UNKNOWN CODE"))</f>
        <v/>
      </c>
      <c r="H53" s="116">
        <f>IF(F53="","",F53&amp;"#"&amp;COUNTIF($F$6:F53,F53))</f>
        <v/>
      </c>
    </row>
    <row r="54" ht="15" customHeight="1" s="90">
      <c r="A54" s="106" t="n"/>
      <c r="B54" s="109" t="n"/>
      <c r="C54" s="109" t="n"/>
      <c r="D54" s="109" t="n"/>
      <c r="E54" s="109" t="n"/>
      <c r="F54" s="106" t="n"/>
      <c r="G54" s="116">
        <f>IF(F54="","",IFERROR(INDEX(Map!$B$2:$B$38,MATCH(F54,Map!$A$2:$A$38,0)),"UNKNOWN CODE"))</f>
        <v/>
      </c>
      <c r="H54" s="116">
        <f>IF(F54="","",F54&amp;"#"&amp;COUNTIF($F$6:F54,F54))</f>
        <v/>
      </c>
    </row>
    <row r="55" ht="15" customHeight="1" s="90">
      <c r="A55" s="106" t="n"/>
      <c r="B55" s="109" t="n"/>
      <c r="C55" s="109" t="n"/>
      <c r="D55" s="109" t="n"/>
      <c r="E55" s="109" t="n"/>
      <c r="F55" s="106" t="n"/>
      <c r="G55" s="116">
        <f>IF(F55="","",IFERROR(INDEX(Map!$B$2:$B$38,MATCH(F55,Map!$A$2:$A$38,0)),"UNKNOWN CODE"))</f>
        <v/>
      </c>
      <c r="H55" s="116">
        <f>IF(F55="","",F55&amp;"#"&amp;COUNTIF($F$6:F55,F55))</f>
        <v/>
      </c>
    </row>
    <row r="56" ht="15" customHeight="1" s="90">
      <c r="A56" s="106" t="n"/>
      <c r="B56" s="109" t="n"/>
      <c r="C56" s="109" t="n"/>
      <c r="D56" s="109" t="n"/>
      <c r="E56" s="109" t="n"/>
      <c r="F56" s="106" t="n"/>
      <c r="G56" s="116">
        <f>IF(F56="","",IFERROR(INDEX(Map!$B$2:$B$38,MATCH(F56,Map!$A$2:$A$38,0)),"UNKNOWN CODE"))</f>
        <v/>
      </c>
      <c r="H56" s="116">
        <f>IF(F56="","",F56&amp;"#"&amp;COUNTIF($F$6:F56,F56))</f>
        <v/>
      </c>
    </row>
    <row r="57" ht="15" customHeight="1" s="90">
      <c r="A57" s="106" t="n"/>
      <c r="B57" s="109" t="n"/>
      <c r="C57" s="109" t="n"/>
      <c r="D57" s="109" t="n"/>
      <c r="E57" s="109" t="n"/>
      <c r="F57" s="106" t="n"/>
      <c r="G57" s="116">
        <f>IF(F57="","",IFERROR(INDEX(Map!$B$2:$B$38,MATCH(F57,Map!$A$2:$A$38,0)),"UNKNOWN CODE"))</f>
        <v/>
      </c>
      <c r="H57" s="116">
        <f>IF(F57="","",F57&amp;"#"&amp;COUNTIF($F$6:F57,F57))</f>
        <v/>
      </c>
    </row>
    <row r="58" ht="15" customHeight="1" s="90">
      <c r="A58" s="106" t="n"/>
      <c r="B58" s="109" t="n"/>
      <c r="C58" s="109" t="n"/>
      <c r="D58" s="109" t="n"/>
      <c r="E58" s="109" t="n"/>
      <c r="F58" s="106" t="n"/>
      <c r="G58" s="116">
        <f>IF(F58="","",IFERROR(INDEX(Map!$B$2:$B$38,MATCH(F58,Map!$A$2:$A$38,0)),"UNKNOWN CODE"))</f>
        <v/>
      </c>
      <c r="H58" s="116">
        <f>IF(F58="","",F58&amp;"#"&amp;COUNTIF($F$6:F58,F58))</f>
        <v/>
      </c>
    </row>
    <row r="59" ht="15" customHeight="1" s="90">
      <c r="A59" s="106" t="n"/>
      <c r="B59" s="109" t="n"/>
      <c r="C59" s="109" t="n"/>
      <c r="D59" s="109" t="n"/>
      <c r="E59" s="109" t="n"/>
      <c r="F59" s="106" t="n"/>
      <c r="G59" s="116">
        <f>IF(F59="","",IFERROR(INDEX(Map!$B$2:$B$38,MATCH(F59,Map!$A$2:$A$38,0)),"UNKNOWN CODE"))</f>
        <v/>
      </c>
      <c r="H59" s="116">
        <f>IF(F59="","",F59&amp;"#"&amp;COUNTIF($F$6:F59,F59))</f>
        <v/>
      </c>
    </row>
    <row r="60" ht="15" customHeight="1" s="90">
      <c r="A60" s="106" t="n"/>
      <c r="B60" s="109" t="n"/>
      <c r="C60" s="109" t="n"/>
      <c r="D60" s="109" t="n"/>
      <c r="E60" s="109" t="n"/>
      <c r="F60" s="106" t="n"/>
      <c r="G60" s="116">
        <f>IF(F60="","",IFERROR(INDEX(Map!$B$2:$B$38,MATCH(F60,Map!$A$2:$A$38,0)),"UNKNOWN CODE"))</f>
        <v/>
      </c>
      <c r="H60" s="116">
        <f>IF(F60="","",F60&amp;"#"&amp;COUNTIF($F$6:F60,F60))</f>
        <v/>
      </c>
    </row>
    <row r="61" ht="15" customHeight="1" s="90">
      <c r="A61" s="106" t="n"/>
      <c r="B61" s="109" t="n"/>
      <c r="C61" s="109" t="n"/>
      <c r="D61" s="109" t="n"/>
      <c r="E61" s="109" t="n"/>
      <c r="F61" s="106" t="n"/>
      <c r="G61" s="116">
        <f>IF(F61="","",IFERROR(INDEX(Map!$B$2:$B$38,MATCH(F61,Map!$A$2:$A$38,0)),"UNKNOWN CODE"))</f>
        <v/>
      </c>
      <c r="H61" s="116">
        <f>IF(F61="","",F61&amp;"#"&amp;COUNTIF($F$6:F61,F61))</f>
        <v/>
      </c>
    </row>
    <row r="62" ht="15" customHeight="1" s="90">
      <c r="A62" s="106" t="n"/>
      <c r="B62" s="109" t="n"/>
      <c r="C62" s="109" t="n"/>
      <c r="D62" s="109" t="n"/>
      <c r="E62" s="109" t="n"/>
      <c r="F62" s="106" t="n"/>
      <c r="G62" s="116">
        <f>IF(F62="","",IFERROR(INDEX(Map!$B$2:$B$38,MATCH(F62,Map!$A$2:$A$38,0)),"UNKNOWN CODE"))</f>
        <v/>
      </c>
      <c r="H62" s="116">
        <f>IF(F62="","",F62&amp;"#"&amp;COUNTIF($F$6:F62,F62))</f>
        <v/>
      </c>
    </row>
    <row r="63" ht="15" customHeight="1" s="90">
      <c r="A63" s="106" t="n"/>
      <c r="B63" s="109" t="n"/>
      <c r="C63" s="109" t="n"/>
      <c r="D63" s="109" t="n"/>
      <c r="E63" s="109" t="n"/>
      <c r="F63" s="106" t="n"/>
      <c r="G63" s="116">
        <f>IF(F63="","",IFERROR(INDEX(Map!$B$2:$B$38,MATCH(F63,Map!$A$2:$A$38,0)),"UNKNOWN CODE"))</f>
        <v/>
      </c>
      <c r="H63" s="116">
        <f>IF(F63="","",F63&amp;"#"&amp;COUNTIF($F$6:F63,F63))</f>
        <v/>
      </c>
    </row>
    <row r="64" ht="15" customHeight="1" s="90">
      <c r="A64" s="106" t="n"/>
      <c r="B64" s="109" t="n"/>
      <c r="C64" s="109" t="n"/>
      <c r="D64" s="109" t="n"/>
      <c r="E64" s="109" t="n"/>
      <c r="F64" s="106" t="n"/>
      <c r="G64" s="116">
        <f>IF(F64="","",IFERROR(INDEX(Map!$B$2:$B$38,MATCH(F64,Map!$A$2:$A$38,0)),"UNKNOWN CODE"))</f>
        <v/>
      </c>
      <c r="H64" s="116">
        <f>IF(F64="","",F64&amp;"#"&amp;COUNTIF($F$6:F64,F64))</f>
        <v/>
      </c>
    </row>
    <row r="65" ht="15" customHeight="1" s="90">
      <c r="A65" s="106" t="n"/>
      <c r="B65" s="109" t="n"/>
      <c r="C65" s="109" t="n"/>
      <c r="D65" s="109" t="n"/>
      <c r="E65" s="109" t="n"/>
      <c r="F65" s="106" t="n"/>
      <c r="G65" s="116">
        <f>IF(F65="","",IFERROR(INDEX(Map!$B$2:$B$38,MATCH(F65,Map!$A$2:$A$38,0)),"UNKNOWN CODE"))</f>
        <v/>
      </c>
      <c r="H65" s="116">
        <f>IF(F65="","",F65&amp;"#"&amp;COUNTIF($F$6:F65,F65))</f>
        <v/>
      </c>
    </row>
    <row r="66" ht="15" customHeight="1" s="90">
      <c r="A66" s="106" t="n"/>
      <c r="B66" s="109" t="n"/>
      <c r="C66" s="109" t="n"/>
      <c r="D66" s="109" t="n"/>
      <c r="E66" s="109" t="n"/>
      <c r="F66" s="106" t="n"/>
      <c r="G66" s="116">
        <f>IF(F66="","",IFERROR(INDEX(Map!$B$2:$B$38,MATCH(F66,Map!$A$2:$A$38,0)),"UNKNOWN CODE"))</f>
        <v/>
      </c>
      <c r="H66" s="116">
        <f>IF(F66="","",F66&amp;"#"&amp;COUNTIF($F$6:F66,F66))</f>
        <v/>
      </c>
    </row>
    <row r="67" ht="15" customHeight="1" s="90">
      <c r="A67" s="106" t="n"/>
      <c r="B67" s="109" t="n"/>
      <c r="C67" s="109" t="n"/>
      <c r="D67" s="109" t="n"/>
      <c r="E67" s="109" t="n"/>
      <c r="F67" s="106" t="n"/>
      <c r="G67" s="116">
        <f>IF(F67="","",IFERROR(INDEX(Map!$B$2:$B$38,MATCH(F67,Map!$A$2:$A$38,0)),"UNKNOWN CODE"))</f>
        <v/>
      </c>
      <c r="H67" s="116">
        <f>IF(F67="","",F67&amp;"#"&amp;COUNTIF($F$6:F67,F67))</f>
        <v/>
      </c>
    </row>
    <row r="68" ht="15" customHeight="1" s="90">
      <c r="A68" s="106" t="n"/>
      <c r="B68" s="109" t="n"/>
      <c r="C68" s="109" t="n"/>
      <c r="D68" s="109" t="n"/>
      <c r="E68" s="109" t="n"/>
      <c r="F68" s="106" t="n"/>
      <c r="G68" s="116">
        <f>IF(F68="","",IFERROR(INDEX(Map!$B$2:$B$38,MATCH(F68,Map!$A$2:$A$38,0)),"UNKNOWN CODE"))</f>
        <v/>
      </c>
      <c r="H68" s="116">
        <f>IF(F68="","",F68&amp;"#"&amp;COUNTIF($F$6:F68,F68))</f>
        <v/>
      </c>
    </row>
    <row r="69" ht="15" customHeight="1" s="90">
      <c r="A69" s="106" t="n"/>
      <c r="B69" s="109" t="n"/>
      <c r="C69" s="109" t="n"/>
      <c r="D69" s="109" t="n"/>
      <c r="E69" s="109" t="n"/>
      <c r="F69" s="106" t="n"/>
      <c r="G69" s="116">
        <f>IF(F69="","",IFERROR(INDEX(Map!$B$2:$B$38,MATCH(F69,Map!$A$2:$A$38,0)),"UNKNOWN CODE"))</f>
        <v/>
      </c>
      <c r="H69" s="116">
        <f>IF(F69="","",F69&amp;"#"&amp;COUNTIF($F$6:F69,F69))</f>
        <v/>
      </c>
    </row>
    <row r="70" ht="15" customHeight="1" s="90">
      <c r="A70" s="106" t="n"/>
      <c r="B70" s="109" t="n"/>
      <c r="C70" s="109" t="n"/>
      <c r="D70" s="109" t="n"/>
      <c r="E70" s="109" t="n"/>
      <c r="F70" s="106" t="n"/>
      <c r="G70" s="116">
        <f>IF(F70="","",IFERROR(INDEX(Map!$B$2:$B$38,MATCH(F70,Map!$A$2:$A$38,0)),"UNKNOWN CODE"))</f>
        <v/>
      </c>
      <c r="H70" s="116">
        <f>IF(F70="","",F70&amp;"#"&amp;COUNTIF($F$6:F70,F70))</f>
        <v/>
      </c>
    </row>
    <row r="71" ht="15" customHeight="1" s="90">
      <c r="A71" s="106" t="n"/>
      <c r="B71" s="109" t="n"/>
      <c r="C71" s="109" t="n"/>
      <c r="D71" s="109" t="n"/>
      <c r="E71" s="109" t="n"/>
      <c r="F71" s="106" t="n"/>
      <c r="G71" s="116">
        <f>IF(F71="","",IFERROR(INDEX(Map!$B$2:$B$38,MATCH(F71,Map!$A$2:$A$38,0)),"UNKNOWN CODE"))</f>
        <v/>
      </c>
      <c r="H71" s="116">
        <f>IF(F71="","",F71&amp;"#"&amp;COUNTIF($F$6:F71,F71))</f>
        <v/>
      </c>
    </row>
    <row r="72" ht="15" customHeight="1" s="90">
      <c r="A72" s="106" t="n"/>
      <c r="B72" s="109" t="n"/>
      <c r="C72" s="109" t="n"/>
      <c r="D72" s="109" t="n"/>
      <c r="E72" s="109" t="n"/>
      <c r="F72" s="106" t="n"/>
      <c r="G72" s="116">
        <f>IF(F72="","",IFERROR(INDEX(Map!$B$2:$B$38,MATCH(F72,Map!$A$2:$A$38,0)),"UNKNOWN CODE"))</f>
        <v/>
      </c>
      <c r="H72" s="116">
        <f>IF(F72="","",F72&amp;"#"&amp;COUNTIF($F$6:F72,F72))</f>
        <v/>
      </c>
    </row>
    <row r="73" ht="15" customHeight="1" s="90">
      <c r="A73" s="106" t="n"/>
      <c r="B73" s="109" t="n"/>
      <c r="C73" s="109" t="n"/>
      <c r="D73" s="109" t="n"/>
      <c r="E73" s="109" t="n"/>
      <c r="F73" s="106" t="n"/>
      <c r="G73" s="116">
        <f>IF(F73="","",IFERROR(INDEX(Map!$B$2:$B$38,MATCH(F73,Map!$A$2:$A$38,0)),"UNKNOWN CODE"))</f>
        <v/>
      </c>
      <c r="H73" s="116">
        <f>IF(F73="","",F73&amp;"#"&amp;COUNTIF($F$6:F73,F73))</f>
        <v/>
      </c>
    </row>
    <row r="74" ht="15" customHeight="1" s="90">
      <c r="A74" s="106" t="n"/>
      <c r="B74" s="109" t="n"/>
      <c r="C74" s="109" t="n"/>
      <c r="D74" s="109" t="n"/>
      <c r="E74" s="109" t="n"/>
      <c r="F74" s="106" t="n"/>
      <c r="G74" s="116">
        <f>IF(F74="","",IFERROR(INDEX(Map!$B$2:$B$38,MATCH(F74,Map!$A$2:$A$38,0)),"UNKNOWN CODE"))</f>
        <v/>
      </c>
      <c r="H74" s="116">
        <f>IF(F74="","",F74&amp;"#"&amp;COUNTIF($F$6:F74,F74))</f>
        <v/>
      </c>
    </row>
    <row r="75" ht="15" customHeight="1" s="90">
      <c r="A75" s="106" t="n"/>
      <c r="B75" s="109" t="n"/>
      <c r="C75" s="109" t="n"/>
      <c r="D75" s="109" t="n"/>
      <c r="E75" s="109" t="n"/>
      <c r="F75" s="106" t="n"/>
      <c r="G75" s="116">
        <f>IF(F75="","",IFERROR(INDEX(Map!$B$2:$B$38,MATCH(F75,Map!$A$2:$A$38,0)),"UNKNOWN CODE"))</f>
        <v/>
      </c>
      <c r="H75" s="116">
        <f>IF(F75="","",F75&amp;"#"&amp;COUNTIF($F$6:F75,F75))</f>
        <v/>
      </c>
    </row>
    <row r="76" ht="15" customHeight="1" s="90">
      <c r="A76" s="106" t="n"/>
      <c r="B76" s="109" t="n"/>
      <c r="C76" s="109" t="n"/>
      <c r="D76" s="109" t="n"/>
      <c r="E76" s="109" t="n"/>
      <c r="F76" s="106" t="n"/>
      <c r="G76" s="116">
        <f>IF(F76="","",IFERROR(INDEX(Map!$B$2:$B$38,MATCH(F76,Map!$A$2:$A$38,0)),"UNKNOWN CODE"))</f>
        <v/>
      </c>
      <c r="H76" s="116">
        <f>IF(F76="","",F76&amp;"#"&amp;COUNTIF($F$6:F76,F76))</f>
        <v/>
      </c>
    </row>
    <row r="77" ht="15" customHeight="1" s="90">
      <c r="A77" s="106" t="n"/>
      <c r="B77" s="109" t="n"/>
      <c r="C77" s="109" t="n"/>
      <c r="D77" s="109" t="n"/>
      <c r="E77" s="109" t="n"/>
      <c r="F77" s="106" t="n"/>
      <c r="G77" s="116">
        <f>IF(F77="","",IFERROR(INDEX(Map!$B$2:$B$38,MATCH(F77,Map!$A$2:$A$38,0)),"UNKNOWN CODE"))</f>
        <v/>
      </c>
      <c r="H77" s="116">
        <f>IF(F77="","",F77&amp;"#"&amp;COUNTIF($F$6:F77,F77))</f>
        <v/>
      </c>
    </row>
    <row r="78" ht="15" customHeight="1" s="90">
      <c r="A78" s="106" t="n"/>
      <c r="B78" s="109" t="n"/>
      <c r="C78" s="109" t="n"/>
      <c r="D78" s="109" t="n"/>
      <c r="E78" s="109" t="n"/>
      <c r="F78" s="106" t="n"/>
      <c r="G78" s="116">
        <f>IF(F78="","",IFERROR(INDEX(Map!$B$2:$B$38,MATCH(F78,Map!$A$2:$A$38,0)),"UNKNOWN CODE"))</f>
        <v/>
      </c>
      <c r="H78" s="116">
        <f>IF(F78="","",F78&amp;"#"&amp;COUNTIF($F$6:F78,F78))</f>
        <v/>
      </c>
    </row>
    <row r="79" ht="15" customHeight="1" s="90">
      <c r="A79" s="106" t="n"/>
      <c r="B79" s="109" t="n"/>
      <c r="C79" s="109" t="n"/>
      <c r="D79" s="109" t="n"/>
      <c r="E79" s="109" t="n"/>
      <c r="F79" s="106" t="n"/>
      <c r="G79" s="116">
        <f>IF(F79="","",IFERROR(INDEX(Map!$B$2:$B$38,MATCH(F79,Map!$A$2:$A$38,0)),"UNKNOWN CODE"))</f>
        <v/>
      </c>
      <c r="H79" s="116">
        <f>IF(F79="","",F79&amp;"#"&amp;COUNTIF($F$6:F79,F79))</f>
        <v/>
      </c>
    </row>
    <row r="80" ht="15" customHeight="1" s="90">
      <c r="A80" s="106" t="n"/>
      <c r="B80" s="109" t="n"/>
      <c r="C80" s="109" t="n"/>
      <c r="D80" s="109" t="n"/>
      <c r="E80" s="109" t="n"/>
      <c r="F80" s="106" t="n"/>
      <c r="G80" s="116">
        <f>IF(F80="","",IFERROR(INDEX(Map!$B$2:$B$38,MATCH(F80,Map!$A$2:$A$38,0)),"UNKNOWN CODE"))</f>
        <v/>
      </c>
      <c r="H80" s="116">
        <f>IF(F80="","",F80&amp;"#"&amp;COUNTIF($F$6:F80,F80))</f>
        <v/>
      </c>
    </row>
    <row r="81" ht="15" customHeight="1" s="90">
      <c r="A81" s="106" t="n"/>
      <c r="B81" s="109" t="n"/>
      <c r="C81" s="109" t="n"/>
      <c r="D81" s="109" t="n"/>
      <c r="E81" s="109" t="n"/>
      <c r="F81" s="106" t="n"/>
      <c r="G81" s="116">
        <f>IF(F81="","",IFERROR(INDEX(Map!$B$2:$B$38,MATCH(F81,Map!$A$2:$A$38,0)),"UNKNOWN CODE"))</f>
        <v/>
      </c>
      <c r="H81" s="116">
        <f>IF(F81="","",F81&amp;"#"&amp;COUNTIF($F$6:F81,F81))</f>
        <v/>
      </c>
    </row>
    <row r="82" ht="15" customHeight="1" s="90">
      <c r="A82" s="106" t="n"/>
      <c r="B82" s="109" t="n"/>
      <c r="C82" s="109" t="n"/>
      <c r="D82" s="109" t="n"/>
      <c r="E82" s="109" t="n"/>
      <c r="F82" s="106" t="n"/>
      <c r="G82" s="116">
        <f>IF(F82="","",IFERROR(INDEX(Map!$B$2:$B$38,MATCH(F82,Map!$A$2:$A$38,0)),"UNKNOWN CODE"))</f>
        <v/>
      </c>
      <c r="H82" s="116">
        <f>IF(F82="","",F82&amp;"#"&amp;COUNTIF($F$6:F82,F82))</f>
        <v/>
      </c>
    </row>
    <row r="83" ht="15" customHeight="1" s="90">
      <c r="A83" s="106" t="n"/>
      <c r="B83" s="109" t="n"/>
      <c r="C83" s="109" t="n"/>
      <c r="D83" s="109" t="n"/>
      <c r="E83" s="109" t="n"/>
      <c r="F83" s="106" t="n"/>
      <c r="G83" s="116">
        <f>IF(F83="","",IFERROR(INDEX(Map!$B$2:$B$38,MATCH(F83,Map!$A$2:$A$38,0)),"UNKNOWN CODE"))</f>
        <v/>
      </c>
      <c r="H83" s="116">
        <f>IF(F83="","",F83&amp;"#"&amp;COUNTIF($F$6:F83,F83))</f>
        <v/>
      </c>
    </row>
    <row r="84" ht="15" customHeight="1" s="90">
      <c r="A84" s="106" t="n"/>
      <c r="B84" s="109" t="n"/>
      <c r="C84" s="109" t="n"/>
      <c r="D84" s="109" t="n"/>
      <c r="E84" s="109" t="n"/>
      <c r="F84" s="106" t="n"/>
      <c r="G84" s="116">
        <f>IF(F84="","",IFERROR(INDEX(Map!$B$2:$B$38,MATCH(F84,Map!$A$2:$A$38,0)),"UNKNOWN CODE"))</f>
        <v/>
      </c>
      <c r="H84" s="116">
        <f>IF(F84="","",F84&amp;"#"&amp;COUNTIF($F$6:F84,F84))</f>
        <v/>
      </c>
    </row>
    <row r="85" ht="15" customHeight="1" s="90">
      <c r="A85" s="106" t="n"/>
      <c r="B85" s="109" t="n"/>
      <c r="C85" s="109" t="n"/>
      <c r="D85" s="109" t="n"/>
      <c r="E85" s="109" t="n"/>
      <c r="F85" s="106" t="n"/>
      <c r="G85" s="116">
        <f>IF(F85="","",IFERROR(INDEX(Map!$B$2:$B$38,MATCH(F85,Map!$A$2:$A$38,0)),"UNKNOWN CODE"))</f>
        <v/>
      </c>
      <c r="H85" s="116">
        <f>IF(F85="","",F85&amp;"#"&amp;COUNTIF($F$6:F85,F85))</f>
        <v/>
      </c>
    </row>
    <row r="86" ht="15" customHeight="1" s="90">
      <c r="A86" s="106" t="n"/>
      <c r="B86" s="109" t="n"/>
      <c r="C86" s="109" t="n"/>
      <c r="D86" s="109" t="n"/>
      <c r="E86" s="109" t="n"/>
      <c r="F86" s="106" t="n"/>
      <c r="G86" s="116">
        <f>IF(F86="","",IFERROR(INDEX(Map!$B$2:$B$38,MATCH(F86,Map!$A$2:$A$38,0)),"UNKNOWN CODE"))</f>
        <v/>
      </c>
      <c r="H86" s="116">
        <f>IF(F86="","",F86&amp;"#"&amp;COUNTIF($F$6:F86,F86))</f>
        <v/>
      </c>
    </row>
    <row r="87" ht="15" customHeight="1" s="90">
      <c r="A87" s="106" t="n"/>
      <c r="B87" s="109" t="n"/>
      <c r="C87" s="109" t="n"/>
      <c r="D87" s="109" t="n"/>
      <c r="E87" s="109" t="n"/>
      <c r="F87" s="106" t="n"/>
      <c r="G87" s="116">
        <f>IF(F87="","",IFERROR(INDEX(Map!$B$2:$B$38,MATCH(F87,Map!$A$2:$A$38,0)),"UNKNOWN CODE"))</f>
        <v/>
      </c>
      <c r="H87" s="116">
        <f>IF(F87="","",F87&amp;"#"&amp;COUNTIF($F$6:F87,F87))</f>
        <v/>
      </c>
    </row>
    <row r="88" ht="15" customHeight="1" s="90">
      <c r="A88" s="106" t="n"/>
      <c r="B88" s="109" t="n"/>
      <c r="C88" s="109" t="n"/>
      <c r="D88" s="109" t="n"/>
      <c r="E88" s="109" t="n"/>
      <c r="F88" s="106" t="n"/>
      <c r="G88" s="116">
        <f>IF(F88="","",IFERROR(INDEX(Map!$B$2:$B$38,MATCH(F88,Map!$A$2:$A$38,0)),"UNKNOWN CODE"))</f>
        <v/>
      </c>
      <c r="H88" s="116">
        <f>IF(F88="","",F88&amp;"#"&amp;COUNTIF($F$6:F88,F88))</f>
        <v/>
      </c>
    </row>
    <row r="89" ht="15" customHeight="1" s="90">
      <c r="A89" s="106" t="n"/>
      <c r="B89" s="109" t="n"/>
      <c r="C89" s="109" t="n"/>
      <c r="D89" s="109" t="n"/>
      <c r="E89" s="109" t="n"/>
      <c r="F89" s="106" t="n"/>
      <c r="G89" s="116">
        <f>IF(F89="","",IFERROR(INDEX(Map!$B$2:$B$38,MATCH(F89,Map!$A$2:$A$38,0)),"UNKNOWN CODE"))</f>
        <v/>
      </c>
      <c r="H89" s="116">
        <f>IF(F89="","",F89&amp;"#"&amp;COUNTIF($F$6:F89,F89))</f>
        <v/>
      </c>
    </row>
    <row r="90" ht="15" customHeight="1" s="90">
      <c r="A90" s="106" t="n"/>
      <c r="B90" s="109" t="n"/>
      <c r="C90" s="109" t="n"/>
      <c r="D90" s="109" t="n"/>
      <c r="E90" s="109" t="n"/>
      <c r="F90" s="106" t="n"/>
      <c r="G90" s="116">
        <f>IF(F90="","",IFERROR(INDEX(Map!$B$2:$B$38,MATCH(F90,Map!$A$2:$A$38,0)),"UNKNOWN CODE"))</f>
        <v/>
      </c>
      <c r="H90" s="116">
        <f>IF(F90="","",F90&amp;"#"&amp;COUNTIF($F$6:F90,F90))</f>
        <v/>
      </c>
    </row>
    <row r="91" ht="15" customHeight="1" s="90">
      <c r="A91" s="106" t="n"/>
      <c r="B91" s="109" t="n"/>
      <c r="C91" s="109" t="n"/>
      <c r="D91" s="109" t="n"/>
      <c r="E91" s="109" t="n"/>
      <c r="F91" s="106" t="n"/>
      <c r="G91" s="116">
        <f>IF(F91="","",IFERROR(INDEX(Map!$B$2:$B$38,MATCH(F91,Map!$A$2:$A$38,0)),"UNKNOWN CODE"))</f>
        <v/>
      </c>
      <c r="H91" s="116">
        <f>IF(F91="","",F91&amp;"#"&amp;COUNTIF($F$6:F91,F91))</f>
        <v/>
      </c>
    </row>
    <row r="92" ht="15" customHeight="1" s="90">
      <c r="A92" s="106" t="n"/>
      <c r="B92" s="109" t="n"/>
      <c r="C92" s="109" t="n"/>
      <c r="D92" s="109" t="n"/>
      <c r="E92" s="109" t="n"/>
      <c r="F92" s="106" t="n"/>
      <c r="G92" s="116">
        <f>IF(F92="","",IFERROR(INDEX(Map!$B$2:$B$38,MATCH(F92,Map!$A$2:$A$38,0)),"UNKNOWN CODE"))</f>
        <v/>
      </c>
      <c r="H92" s="116">
        <f>IF(F92="","",F92&amp;"#"&amp;COUNTIF($F$6:F92,F92))</f>
        <v/>
      </c>
    </row>
    <row r="93" ht="15" customHeight="1" s="90">
      <c r="A93" s="106" t="n"/>
      <c r="B93" s="109" t="n"/>
      <c r="C93" s="109" t="n"/>
      <c r="D93" s="109" t="n"/>
      <c r="E93" s="109" t="n"/>
      <c r="F93" s="106" t="n"/>
      <c r="G93" s="116">
        <f>IF(F93="","",IFERROR(INDEX(Map!$B$2:$B$38,MATCH(F93,Map!$A$2:$A$38,0)),"UNKNOWN CODE"))</f>
        <v/>
      </c>
      <c r="H93" s="116">
        <f>IF(F93="","",F93&amp;"#"&amp;COUNTIF($F$6:F93,F93))</f>
        <v/>
      </c>
    </row>
    <row r="94" ht="15" customHeight="1" s="90">
      <c r="A94" s="106" t="n"/>
      <c r="B94" s="109" t="n"/>
      <c r="C94" s="109" t="n"/>
      <c r="D94" s="109" t="n"/>
      <c r="E94" s="109" t="n"/>
      <c r="F94" s="106" t="n"/>
      <c r="G94" s="116">
        <f>IF(F94="","",IFERROR(INDEX(Map!$B$2:$B$38,MATCH(F94,Map!$A$2:$A$38,0)),"UNKNOWN CODE"))</f>
        <v/>
      </c>
      <c r="H94" s="116">
        <f>IF(F94="","",F94&amp;"#"&amp;COUNTIF($F$6:F94,F94))</f>
        <v/>
      </c>
    </row>
    <row r="95" ht="15" customHeight="1" s="90">
      <c r="A95" s="106" t="n"/>
      <c r="B95" s="109" t="n"/>
      <c r="C95" s="109" t="n"/>
      <c r="D95" s="109" t="n"/>
      <c r="E95" s="109" t="n"/>
      <c r="F95" s="106" t="n"/>
      <c r="G95" s="116">
        <f>IF(F95="","",IFERROR(INDEX(Map!$B$2:$B$38,MATCH(F95,Map!$A$2:$A$38,0)),"UNKNOWN CODE"))</f>
        <v/>
      </c>
      <c r="H95" s="116">
        <f>IF(F95="","",F95&amp;"#"&amp;COUNTIF($F$6:F95,F95))</f>
        <v/>
      </c>
    </row>
    <row r="96" ht="15" customHeight="1" s="90">
      <c r="A96" s="106" t="n"/>
      <c r="B96" s="109" t="n"/>
      <c r="C96" s="109" t="n"/>
      <c r="D96" s="109" t="n"/>
      <c r="E96" s="109" t="n"/>
      <c r="F96" s="106" t="n"/>
      <c r="G96" s="116">
        <f>IF(F96="","",IFERROR(INDEX(Map!$B$2:$B$38,MATCH(F96,Map!$A$2:$A$38,0)),"UNKNOWN CODE"))</f>
        <v/>
      </c>
      <c r="H96" s="116">
        <f>IF(F96="","",F96&amp;"#"&amp;COUNTIF($F$6:F96,F96))</f>
        <v/>
      </c>
    </row>
    <row r="97" ht="15" customHeight="1" s="90">
      <c r="A97" s="106" t="n"/>
      <c r="B97" s="109" t="n"/>
      <c r="C97" s="109" t="n"/>
      <c r="D97" s="109" t="n"/>
      <c r="E97" s="109" t="n"/>
      <c r="F97" s="106" t="n"/>
      <c r="G97" s="116">
        <f>IF(F97="","",IFERROR(INDEX(Map!$B$2:$B$38,MATCH(F97,Map!$A$2:$A$38,0)),"UNKNOWN CODE"))</f>
        <v/>
      </c>
      <c r="H97" s="116">
        <f>IF(F97="","",F97&amp;"#"&amp;COUNTIF($F$6:F97,F97))</f>
        <v/>
      </c>
    </row>
    <row r="98" ht="15" customHeight="1" s="90">
      <c r="A98" s="106" t="n"/>
      <c r="B98" s="109" t="n"/>
      <c r="C98" s="109" t="n"/>
      <c r="D98" s="109" t="n"/>
      <c r="E98" s="109" t="n"/>
      <c r="F98" s="106" t="n"/>
      <c r="G98" s="116">
        <f>IF(F98="","",IFERROR(INDEX(Map!$B$2:$B$38,MATCH(F98,Map!$A$2:$A$38,0)),"UNKNOWN CODE"))</f>
        <v/>
      </c>
      <c r="H98" s="116">
        <f>IF(F98="","",F98&amp;"#"&amp;COUNTIF($F$6:F98,F98))</f>
        <v/>
      </c>
    </row>
    <row r="99" ht="15" customHeight="1" s="90">
      <c r="A99" s="106" t="n"/>
      <c r="B99" s="109" t="n"/>
      <c r="C99" s="109" t="n"/>
      <c r="D99" s="109" t="n"/>
      <c r="E99" s="109" t="n"/>
      <c r="F99" s="106" t="n"/>
      <c r="G99" s="116">
        <f>IF(F99="","",IFERROR(INDEX(Map!$B$2:$B$38,MATCH(F99,Map!$A$2:$A$38,0)),"UNKNOWN CODE"))</f>
        <v/>
      </c>
      <c r="H99" s="116">
        <f>IF(F99="","",F99&amp;"#"&amp;COUNTIF($F$6:F99,F99))</f>
        <v/>
      </c>
    </row>
    <row r="100" ht="15" customHeight="1" s="90">
      <c r="A100" s="106" t="n"/>
      <c r="B100" s="109" t="n"/>
      <c r="C100" s="109" t="n"/>
      <c r="D100" s="109" t="n"/>
      <c r="E100" s="109" t="n"/>
      <c r="F100" s="106" t="n"/>
      <c r="G100" s="116">
        <f>IF(F100="","",IFERROR(INDEX(Map!$B$2:$B$38,MATCH(F100,Map!$A$2:$A$38,0)),"UNKNOWN CODE"))</f>
        <v/>
      </c>
      <c r="H100" s="116">
        <f>IF(F100="","",F100&amp;"#"&amp;COUNTIF($F$6:F100,F100))</f>
        <v/>
      </c>
    </row>
    <row r="101" ht="15" customHeight="1" s="90">
      <c r="A101" s="106" t="n"/>
      <c r="B101" s="109" t="n"/>
      <c r="C101" s="109" t="n"/>
      <c r="D101" s="109" t="n"/>
      <c r="E101" s="109" t="n"/>
      <c r="F101" s="106" t="n"/>
      <c r="G101" s="116">
        <f>IF(F101="","",IFERROR(INDEX(Map!$B$2:$B$38,MATCH(F101,Map!$A$2:$A$38,0)),"UNKNOWN CODE"))</f>
        <v/>
      </c>
      <c r="H101" s="116">
        <f>IF(F101="","",F101&amp;"#"&amp;COUNTIF($F$6:F101,F101))</f>
        <v/>
      </c>
    </row>
    <row r="102" ht="15" customHeight="1" s="90">
      <c r="A102" s="106" t="n"/>
      <c r="B102" s="109" t="n"/>
      <c r="C102" s="109" t="n"/>
      <c r="D102" s="109" t="n"/>
      <c r="E102" s="109" t="n"/>
      <c r="F102" s="106" t="n"/>
      <c r="G102" s="116">
        <f>IF(F102="","",IFERROR(INDEX(Map!$B$2:$B$38,MATCH(F102,Map!$A$2:$A$38,0)),"UNKNOWN CODE"))</f>
        <v/>
      </c>
      <c r="H102" s="116">
        <f>IF(F102="","",F102&amp;"#"&amp;COUNTIF($F$6:F102,F102))</f>
        <v/>
      </c>
    </row>
    <row r="103" ht="15" customHeight="1" s="90">
      <c r="A103" s="106" t="n"/>
      <c r="B103" s="109" t="n"/>
      <c r="C103" s="109" t="n"/>
      <c r="D103" s="109" t="n"/>
      <c r="E103" s="109" t="n"/>
      <c r="F103" s="106" t="n"/>
      <c r="G103" s="116">
        <f>IF(F103="","",IFERROR(INDEX(Map!$B$2:$B$38,MATCH(F103,Map!$A$2:$A$38,0)),"UNKNOWN CODE"))</f>
        <v/>
      </c>
      <c r="H103" s="116">
        <f>IF(F103="","",F103&amp;"#"&amp;COUNTIF($F$6:F103,F103))</f>
        <v/>
      </c>
    </row>
    <row r="104" ht="15" customHeight="1" s="90">
      <c r="A104" s="106" t="n"/>
      <c r="B104" s="109" t="n"/>
      <c r="C104" s="109" t="n"/>
      <c r="D104" s="109" t="n"/>
      <c r="E104" s="109" t="n"/>
      <c r="F104" s="106" t="n"/>
      <c r="G104" s="116">
        <f>IF(F104="","",IFERROR(INDEX(Map!$B$2:$B$38,MATCH(F104,Map!$A$2:$A$38,0)),"UNKNOWN CODE"))</f>
        <v/>
      </c>
      <c r="H104" s="116">
        <f>IF(F104="","",F104&amp;"#"&amp;COUNTIF($F$6:F104,F104))</f>
        <v/>
      </c>
    </row>
    <row r="105" ht="15" customHeight="1" s="90">
      <c r="A105" s="106" t="n"/>
      <c r="B105" s="109" t="n"/>
      <c r="C105" s="109" t="n"/>
      <c r="D105" s="109" t="n"/>
      <c r="E105" s="109" t="n"/>
      <c r="F105" s="106" t="n"/>
      <c r="G105" s="116">
        <f>IF(F105="","",IFERROR(INDEX(Map!$B$2:$B$38,MATCH(F105,Map!$A$2:$A$38,0)),"UNKNOWN CODE"))</f>
        <v/>
      </c>
      <c r="H105" s="116">
        <f>IF(F105="","",F105&amp;"#"&amp;COUNTIF($F$6:F105,F105))</f>
        <v/>
      </c>
    </row>
    <row r="106" ht="15" customHeight="1" s="90">
      <c r="A106" s="106" t="n"/>
      <c r="B106" s="109" t="n"/>
      <c r="C106" s="109" t="n"/>
      <c r="D106" s="109" t="n"/>
      <c r="E106" s="109" t="n"/>
      <c r="F106" s="106" t="n"/>
      <c r="G106" s="116">
        <f>IF(F106="","",IFERROR(INDEX(Map!$B$2:$B$38,MATCH(F106,Map!$A$2:$A$38,0)),"UNKNOWN CODE"))</f>
        <v/>
      </c>
      <c r="H106" s="116">
        <f>IF(F106="","",F106&amp;"#"&amp;COUNTIF($F$6:F106,F106))</f>
        <v/>
      </c>
    </row>
    <row r="107" ht="15" customHeight="1" s="90">
      <c r="A107" s="106" t="n"/>
      <c r="B107" s="109" t="n"/>
      <c r="C107" s="109" t="n"/>
      <c r="D107" s="109" t="n"/>
      <c r="E107" s="109" t="n"/>
      <c r="F107" s="106" t="n"/>
      <c r="G107" s="116">
        <f>IF(F107="","",IFERROR(INDEX(Map!$B$2:$B$38,MATCH(F107,Map!$A$2:$A$38,0)),"UNKNOWN CODE"))</f>
        <v/>
      </c>
      <c r="H107" s="116">
        <f>IF(F107="","",F107&amp;"#"&amp;COUNTIF($F$6:F107,F107))</f>
        <v/>
      </c>
    </row>
    <row r="108" ht="15" customHeight="1" s="90">
      <c r="A108" s="106" t="n"/>
      <c r="B108" s="109" t="n"/>
      <c r="C108" s="109" t="n"/>
      <c r="D108" s="109" t="n"/>
      <c r="E108" s="109" t="n"/>
      <c r="F108" s="106" t="n"/>
      <c r="G108" s="116">
        <f>IF(F108="","",IFERROR(INDEX(Map!$B$2:$B$38,MATCH(F108,Map!$A$2:$A$38,0)),"UNKNOWN CODE"))</f>
        <v/>
      </c>
      <c r="H108" s="116">
        <f>IF(F108="","",F108&amp;"#"&amp;COUNTIF($F$6:F108,F108))</f>
        <v/>
      </c>
    </row>
    <row r="109" ht="15" customHeight="1" s="90">
      <c r="A109" s="106" t="n"/>
      <c r="B109" s="109" t="n"/>
      <c r="C109" s="109" t="n"/>
      <c r="D109" s="109" t="n"/>
      <c r="E109" s="109" t="n"/>
      <c r="F109" s="106" t="n"/>
      <c r="G109" s="116">
        <f>IF(F109="","",IFERROR(INDEX(Map!$B$2:$B$38,MATCH(F109,Map!$A$2:$A$38,0)),"UNKNOWN CODE"))</f>
        <v/>
      </c>
      <c r="H109" s="116">
        <f>IF(F109="","",F109&amp;"#"&amp;COUNTIF($F$6:F109,F109))</f>
        <v/>
      </c>
    </row>
    <row r="110" ht="15" customHeight="1" s="90">
      <c r="A110" s="106" t="n"/>
      <c r="B110" s="109" t="n"/>
      <c r="C110" s="109" t="n"/>
      <c r="D110" s="109" t="n"/>
      <c r="E110" s="109" t="n"/>
      <c r="F110" s="106" t="n"/>
      <c r="G110" s="116">
        <f>IF(F110="","",IFERROR(INDEX(Map!$B$2:$B$38,MATCH(F110,Map!$A$2:$A$38,0)),"UNKNOWN CODE"))</f>
        <v/>
      </c>
      <c r="H110" s="116">
        <f>IF(F110="","",F110&amp;"#"&amp;COUNTIF($F$6:F110,F110))</f>
        <v/>
      </c>
    </row>
    <row r="111" ht="15" customHeight="1" s="90">
      <c r="A111" s="106" t="n"/>
      <c r="B111" s="109" t="n"/>
      <c r="C111" s="109" t="n"/>
      <c r="D111" s="109" t="n"/>
      <c r="E111" s="109" t="n"/>
      <c r="F111" s="106" t="n"/>
      <c r="G111" s="116">
        <f>IF(F111="","",IFERROR(INDEX(Map!$B$2:$B$38,MATCH(F111,Map!$A$2:$A$38,0)),"UNKNOWN CODE"))</f>
        <v/>
      </c>
      <c r="H111" s="116">
        <f>IF(F111="","",F111&amp;"#"&amp;COUNTIF($F$6:F111,F111))</f>
        <v/>
      </c>
    </row>
    <row r="112" ht="15" customHeight="1" s="90">
      <c r="A112" s="106" t="n"/>
      <c r="B112" s="109" t="n"/>
      <c r="C112" s="109" t="n"/>
      <c r="D112" s="109" t="n"/>
      <c r="E112" s="109" t="n"/>
      <c r="F112" s="106" t="n"/>
      <c r="G112" s="116">
        <f>IF(F112="","",IFERROR(INDEX(Map!$B$2:$B$38,MATCH(F112,Map!$A$2:$A$38,0)),"UNKNOWN CODE"))</f>
        <v/>
      </c>
      <c r="H112" s="116">
        <f>IF(F112="","",F112&amp;"#"&amp;COUNTIF($F$6:F112,F112))</f>
        <v/>
      </c>
    </row>
    <row r="113" ht="15" customHeight="1" s="90">
      <c r="A113" s="106" t="n"/>
      <c r="B113" s="109" t="n"/>
      <c r="C113" s="109" t="n"/>
      <c r="D113" s="109" t="n"/>
      <c r="E113" s="109" t="n"/>
      <c r="F113" s="106" t="n"/>
      <c r="G113" s="116">
        <f>IF(F113="","",IFERROR(INDEX(Map!$B$2:$B$38,MATCH(F113,Map!$A$2:$A$38,0)),"UNKNOWN CODE"))</f>
        <v/>
      </c>
      <c r="H113" s="116">
        <f>IF(F113="","",F113&amp;"#"&amp;COUNTIF($F$6:F113,F113))</f>
        <v/>
      </c>
    </row>
    <row r="114" ht="15" customHeight="1" s="90">
      <c r="A114" s="106" t="n"/>
      <c r="B114" s="109" t="n"/>
      <c r="C114" s="109" t="n"/>
      <c r="D114" s="109" t="n"/>
      <c r="E114" s="109" t="n"/>
      <c r="F114" s="106" t="n"/>
      <c r="G114" s="116">
        <f>IF(F114="","",IFERROR(INDEX(Map!$B$2:$B$38,MATCH(F114,Map!$A$2:$A$38,0)),"UNKNOWN CODE"))</f>
        <v/>
      </c>
      <c r="H114" s="116">
        <f>IF(F114="","",F114&amp;"#"&amp;COUNTIF($F$6:F114,F114))</f>
        <v/>
      </c>
    </row>
    <row r="115" ht="15" customHeight="1" s="90">
      <c r="A115" s="106" t="n"/>
      <c r="B115" s="109" t="n"/>
      <c r="C115" s="109" t="n"/>
      <c r="D115" s="109" t="n"/>
      <c r="E115" s="109" t="n"/>
      <c r="F115" s="106" t="n"/>
      <c r="G115" s="116">
        <f>IF(F115="","",IFERROR(INDEX(Map!$B$2:$B$38,MATCH(F115,Map!$A$2:$A$38,0)),"UNKNOWN CODE"))</f>
        <v/>
      </c>
      <c r="H115" s="116">
        <f>IF(F115="","",F115&amp;"#"&amp;COUNTIF($F$6:F115,F115))</f>
        <v/>
      </c>
    </row>
    <row r="116" ht="15" customHeight="1" s="90">
      <c r="A116" s="106" t="n"/>
      <c r="B116" s="109" t="n"/>
      <c r="C116" s="109" t="n"/>
      <c r="D116" s="109" t="n"/>
      <c r="E116" s="109" t="n"/>
      <c r="F116" s="106" t="n"/>
      <c r="G116" s="116">
        <f>IF(F116="","",IFERROR(INDEX(Map!$B$2:$B$38,MATCH(F116,Map!$A$2:$A$38,0)),"UNKNOWN CODE"))</f>
        <v/>
      </c>
      <c r="H116" s="116">
        <f>IF(F116="","",F116&amp;"#"&amp;COUNTIF($F$6:F116,F116))</f>
        <v/>
      </c>
    </row>
    <row r="117" ht="15" customHeight="1" s="90">
      <c r="A117" s="106" t="n"/>
      <c r="B117" s="109" t="n"/>
      <c r="C117" s="109" t="n"/>
      <c r="D117" s="109" t="n"/>
      <c r="E117" s="109" t="n"/>
      <c r="F117" s="106" t="n"/>
      <c r="G117" s="116">
        <f>IF(F117="","",IFERROR(INDEX(Map!$B$2:$B$38,MATCH(F117,Map!$A$2:$A$38,0)),"UNKNOWN CODE"))</f>
        <v/>
      </c>
      <c r="H117" s="116">
        <f>IF(F117="","",F117&amp;"#"&amp;COUNTIF($F$6:F117,F117))</f>
        <v/>
      </c>
    </row>
    <row r="118" ht="15" customHeight="1" s="90">
      <c r="A118" s="106" t="n"/>
      <c r="B118" s="109" t="n"/>
      <c r="C118" s="109" t="n"/>
      <c r="D118" s="109" t="n"/>
      <c r="E118" s="109" t="n"/>
      <c r="F118" s="106" t="n"/>
      <c r="G118" s="116">
        <f>IF(F118="","",IFERROR(INDEX(Map!$B$2:$B$38,MATCH(F118,Map!$A$2:$A$38,0)),"UNKNOWN CODE"))</f>
        <v/>
      </c>
      <c r="H118" s="116">
        <f>IF(F118="","",F118&amp;"#"&amp;COUNTIF($F$6:F118,F118))</f>
        <v/>
      </c>
    </row>
    <row r="119" ht="15" customHeight="1" s="90">
      <c r="A119" s="106" t="n"/>
      <c r="B119" s="109" t="n"/>
      <c r="C119" s="109" t="n"/>
      <c r="D119" s="109" t="n"/>
      <c r="E119" s="109" t="n"/>
      <c r="F119" s="106" t="n"/>
      <c r="G119" s="116">
        <f>IF(F119="","",IFERROR(INDEX(Map!$B$2:$B$38,MATCH(F119,Map!$A$2:$A$38,0)),"UNKNOWN CODE"))</f>
        <v/>
      </c>
      <c r="H119" s="116">
        <f>IF(F119="","",F119&amp;"#"&amp;COUNTIF($F$6:F119,F119))</f>
        <v/>
      </c>
    </row>
    <row r="120" ht="15" customHeight="1" s="90">
      <c r="A120" s="106" t="n"/>
      <c r="B120" s="109" t="n"/>
      <c r="C120" s="109" t="n"/>
      <c r="D120" s="109" t="n"/>
      <c r="E120" s="109" t="n"/>
      <c r="F120" s="106" t="n"/>
      <c r="G120" s="116">
        <f>IF(F120="","",IFERROR(INDEX(Map!$B$2:$B$38,MATCH(F120,Map!$A$2:$A$38,0)),"UNKNOWN CODE"))</f>
        <v/>
      </c>
      <c r="H120" s="116">
        <f>IF(F120="","",F120&amp;"#"&amp;COUNTIF($F$6:F120,F120))</f>
        <v/>
      </c>
    </row>
    <row r="121" ht="15" customHeight="1" s="90">
      <c r="A121" s="106" t="n"/>
      <c r="B121" s="109" t="n"/>
      <c r="C121" s="109" t="n"/>
      <c r="D121" s="109" t="n"/>
      <c r="E121" s="109" t="n"/>
      <c r="F121" s="106" t="n"/>
      <c r="G121" s="116">
        <f>IF(F121="","",IFERROR(INDEX(Map!$B$2:$B$38,MATCH(F121,Map!$A$2:$A$38,0)),"UNKNOWN CODE"))</f>
        <v/>
      </c>
      <c r="H121" s="116">
        <f>IF(F121="","",F121&amp;"#"&amp;COUNTIF($F$6:F121,F121))</f>
        <v/>
      </c>
    </row>
    <row r="122" ht="15" customHeight="1" s="90">
      <c r="A122" s="106" t="n"/>
      <c r="B122" s="109" t="n"/>
      <c r="C122" s="109" t="n"/>
      <c r="D122" s="109" t="n"/>
      <c r="E122" s="109" t="n"/>
      <c r="F122" s="106" t="n"/>
      <c r="G122" s="116">
        <f>IF(F122="","",IFERROR(INDEX(Map!$B$2:$B$38,MATCH(F122,Map!$A$2:$A$38,0)),"UNKNOWN CODE"))</f>
        <v/>
      </c>
      <c r="H122" s="116">
        <f>IF(F122="","",F122&amp;"#"&amp;COUNTIF($F$6:F122,F122))</f>
        <v/>
      </c>
    </row>
    <row r="123" ht="15" customHeight="1" s="90">
      <c r="A123" s="106" t="n"/>
      <c r="B123" s="109" t="n"/>
      <c r="C123" s="109" t="n"/>
      <c r="D123" s="109" t="n"/>
      <c r="E123" s="109" t="n"/>
      <c r="F123" s="106" t="n"/>
      <c r="G123" s="116">
        <f>IF(F123="","",IFERROR(INDEX(Map!$B$2:$B$38,MATCH(F123,Map!$A$2:$A$38,0)),"UNKNOWN CODE"))</f>
        <v/>
      </c>
      <c r="H123" s="116">
        <f>IF(F123="","",F123&amp;"#"&amp;COUNTIF($F$6:F123,F123))</f>
        <v/>
      </c>
    </row>
    <row r="124" ht="15" customHeight="1" s="90">
      <c r="A124" s="106" t="n"/>
      <c r="B124" s="109" t="n"/>
      <c r="C124" s="109" t="n"/>
      <c r="D124" s="109" t="n"/>
      <c r="E124" s="109" t="n"/>
      <c r="F124" s="106" t="n"/>
      <c r="G124" s="116">
        <f>IF(F124="","",IFERROR(INDEX(Map!$B$2:$B$38,MATCH(F124,Map!$A$2:$A$38,0)),"UNKNOWN CODE"))</f>
        <v/>
      </c>
      <c r="H124" s="116">
        <f>IF(F124="","",F124&amp;"#"&amp;COUNTIF($F$6:F124,F124))</f>
        <v/>
      </c>
    </row>
    <row r="125" ht="15" customHeight="1" s="90">
      <c r="A125" s="106" t="n"/>
      <c r="B125" s="109" t="n"/>
      <c r="C125" s="109" t="n"/>
      <c r="D125" s="109" t="n"/>
      <c r="E125" s="109" t="n"/>
      <c r="F125" s="106" t="n"/>
      <c r="G125" s="116">
        <f>IF(F125="","",IFERROR(INDEX(Map!$B$2:$B$38,MATCH(F125,Map!$A$2:$A$38,0)),"UNKNOWN CODE"))</f>
        <v/>
      </c>
      <c r="H125" s="116">
        <f>IF(F125="","",F125&amp;"#"&amp;COUNTIF($F$6:F125,F125))</f>
        <v/>
      </c>
    </row>
    <row r="126" ht="15" customHeight="1" s="90">
      <c r="A126" s="106" t="n"/>
      <c r="B126" s="109" t="n"/>
      <c r="C126" s="109" t="n"/>
      <c r="D126" s="109" t="n"/>
      <c r="E126" s="109" t="n"/>
      <c r="F126" s="106" t="n"/>
      <c r="G126" s="116">
        <f>IF(F126="","",IFERROR(INDEX(Map!$B$2:$B$38,MATCH(F126,Map!$A$2:$A$38,0)),"UNKNOWN CODE"))</f>
        <v/>
      </c>
      <c r="H126" s="116">
        <f>IF(F126="","",F126&amp;"#"&amp;COUNTIF($F$6:F126,F126))</f>
        <v/>
      </c>
    </row>
    <row r="127" ht="15" customHeight="1" s="90">
      <c r="A127" s="106" t="n"/>
      <c r="B127" s="109" t="n"/>
      <c r="C127" s="109" t="n"/>
      <c r="D127" s="109" t="n"/>
      <c r="E127" s="109" t="n"/>
      <c r="F127" s="106" t="n"/>
      <c r="G127" s="116">
        <f>IF(F127="","",IFERROR(INDEX(Map!$B$2:$B$38,MATCH(F127,Map!$A$2:$A$38,0)),"UNKNOWN CODE"))</f>
        <v/>
      </c>
      <c r="H127" s="116">
        <f>IF(F127="","",F127&amp;"#"&amp;COUNTIF($F$6:F127,F127))</f>
        <v/>
      </c>
    </row>
    <row r="128" ht="15" customHeight="1" s="90">
      <c r="A128" s="106" t="n"/>
      <c r="B128" s="109" t="n"/>
      <c r="C128" s="109" t="n"/>
      <c r="D128" s="109" t="n"/>
      <c r="E128" s="109" t="n"/>
      <c r="F128" s="106" t="n"/>
      <c r="G128" s="116">
        <f>IF(F128="","",IFERROR(INDEX(Map!$B$2:$B$38,MATCH(F128,Map!$A$2:$A$38,0)),"UNKNOWN CODE"))</f>
        <v/>
      </c>
      <c r="H128" s="116">
        <f>IF(F128="","",F128&amp;"#"&amp;COUNTIF($F$6:F128,F128))</f>
        <v/>
      </c>
    </row>
    <row r="129" ht="15" customHeight="1" s="90">
      <c r="A129" s="106" t="n"/>
      <c r="B129" s="109" t="n"/>
      <c r="C129" s="109" t="n"/>
      <c r="D129" s="109" t="n"/>
      <c r="E129" s="109" t="n"/>
      <c r="F129" s="106" t="n"/>
      <c r="G129" s="116">
        <f>IF(F129="","",IFERROR(INDEX(Map!$B$2:$B$38,MATCH(F129,Map!$A$2:$A$38,0)),"UNKNOWN CODE"))</f>
        <v/>
      </c>
      <c r="H129" s="116">
        <f>IF(F129="","",F129&amp;"#"&amp;COUNTIF($F$6:F129,F129))</f>
        <v/>
      </c>
    </row>
    <row r="130" ht="15" customHeight="1" s="90">
      <c r="A130" s="106" t="n"/>
      <c r="B130" s="109" t="n"/>
      <c r="C130" s="109" t="n"/>
      <c r="D130" s="109" t="n"/>
      <c r="E130" s="109" t="n"/>
      <c r="F130" s="106" t="n"/>
      <c r="G130" s="116">
        <f>IF(F130="","",IFERROR(INDEX(Map!$B$2:$B$38,MATCH(F130,Map!$A$2:$A$38,0)),"UNKNOWN CODE"))</f>
        <v/>
      </c>
      <c r="H130" s="116">
        <f>IF(F130="","",F130&amp;"#"&amp;COUNTIF($F$6:F130,F130))</f>
        <v/>
      </c>
    </row>
    <row r="131" ht="15" customHeight="1" s="90">
      <c r="A131" s="106" t="n"/>
      <c r="B131" s="109" t="n"/>
      <c r="C131" s="109" t="n"/>
      <c r="D131" s="109" t="n"/>
      <c r="E131" s="109" t="n"/>
      <c r="F131" s="106" t="n"/>
      <c r="G131" s="116">
        <f>IF(F131="","",IFERROR(INDEX(Map!$B$2:$B$38,MATCH(F131,Map!$A$2:$A$38,0)),"UNKNOWN CODE"))</f>
        <v/>
      </c>
      <c r="H131" s="116">
        <f>IF(F131="","",F131&amp;"#"&amp;COUNTIF($F$6:F131,F131))</f>
        <v/>
      </c>
    </row>
    <row r="132" ht="15" customHeight="1" s="90">
      <c r="A132" s="106" t="n"/>
      <c r="B132" s="109" t="n"/>
      <c r="C132" s="109" t="n"/>
      <c r="D132" s="109" t="n"/>
      <c r="E132" s="109" t="n"/>
      <c r="F132" s="106" t="n"/>
      <c r="G132" s="116">
        <f>IF(F132="","",IFERROR(INDEX(Map!$B$2:$B$38,MATCH(F132,Map!$A$2:$A$38,0)),"UNKNOWN CODE"))</f>
        <v/>
      </c>
      <c r="H132" s="116">
        <f>IF(F132="","",F132&amp;"#"&amp;COUNTIF($F$6:F132,F132))</f>
        <v/>
      </c>
    </row>
    <row r="133" ht="15" customHeight="1" s="90">
      <c r="A133" s="106" t="n"/>
      <c r="B133" s="109" t="n"/>
      <c r="C133" s="109" t="n"/>
      <c r="D133" s="109" t="n"/>
      <c r="E133" s="109" t="n"/>
      <c r="F133" s="106" t="n"/>
      <c r="G133" s="116">
        <f>IF(F133="","",IFERROR(INDEX(Map!$B$2:$B$38,MATCH(F133,Map!$A$2:$A$38,0)),"UNKNOWN CODE"))</f>
        <v/>
      </c>
      <c r="H133" s="116">
        <f>IF(F133="","",F133&amp;"#"&amp;COUNTIF($F$6:F133,F133))</f>
        <v/>
      </c>
    </row>
    <row r="134" ht="15" customHeight="1" s="90">
      <c r="A134" s="106" t="n"/>
      <c r="B134" s="109" t="n"/>
      <c r="C134" s="109" t="n"/>
      <c r="D134" s="109" t="n"/>
      <c r="E134" s="109" t="n"/>
      <c r="F134" s="106" t="n"/>
      <c r="G134" s="116">
        <f>IF(F134="","",IFERROR(INDEX(Map!$B$2:$B$38,MATCH(F134,Map!$A$2:$A$38,0)),"UNKNOWN CODE"))</f>
        <v/>
      </c>
      <c r="H134" s="116">
        <f>IF(F134="","",F134&amp;"#"&amp;COUNTIF($F$6:F134,F134))</f>
        <v/>
      </c>
    </row>
    <row r="135" ht="15" customHeight="1" s="90">
      <c r="A135" s="106" t="n"/>
      <c r="B135" s="109" t="n"/>
      <c r="C135" s="109" t="n"/>
      <c r="D135" s="109" t="n"/>
      <c r="E135" s="109" t="n"/>
      <c r="F135" s="106" t="n"/>
      <c r="G135" s="116">
        <f>IF(F135="","",IFERROR(INDEX(Map!$B$2:$B$38,MATCH(F135,Map!$A$2:$A$38,0)),"UNKNOWN CODE"))</f>
        <v/>
      </c>
      <c r="H135" s="116">
        <f>IF(F135="","",F135&amp;"#"&amp;COUNTIF($F$6:F135,F135))</f>
        <v/>
      </c>
    </row>
    <row r="136" ht="15" customHeight="1" s="90">
      <c r="A136" s="106" t="n"/>
      <c r="B136" s="109" t="n"/>
      <c r="C136" s="109" t="n"/>
      <c r="D136" s="109" t="n"/>
      <c r="E136" s="109" t="n"/>
      <c r="F136" s="106" t="n"/>
      <c r="G136" s="116">
        <f>IF(F136="","",IFERROR(INDEX(Map!$B$2:$B$38,MATCH(F136,Map!$A$2:$A$38,0)),"UNKNOWN CODE"))</f>
        <v/>
      </c>
      <c r="H136" s="116">
        <f>IF(F136="","",F136&amp;"#"&amp;COUNTIF($F$6:F136,F136))</f>
        <v/>
      </c>
    </row>
    <row r="137" ht="15" customHeight="1" s="90">
      <c r="A137" s="106" t="n"/>
      <c r="B137" s="109" t="n"/>
      <c r="C137" s="109" t="n"/>
      <c r="D137" s="109" t="n"/>
      <c r="E137" s="109" t="n"/>
      <c r="F137" s="106" t="n"/>
      <c r="G137" s="116">
        <f>IF(F137="","",IFERROR(INDEX(Map!$B$2:$B$38,MATCH(F137,Map!$A$2:$A$38,0)),"UNKNOWN CODE"))</f>
        <v/>
      </c>
      <c r="H137" s="116">
        <f>IF(F137="","",F137&amp;"#"&amp;COUNTIF($F$6:F137,F137))</f>
        <v/>
      </c>
    </row>
    <row r="138" ht="15" customHeight="1" s="90">
      <c r="A138" s="106" t="n"/>
      <c r="B138" s="109" t="n"/>
      <c r="C138" s="109" t="n"/>
      <c r="D138" s="109" t="n"/>
      <c r="E138" s="109" t="n"/>
      <c r="F138" s="106" t="n"/>
      <c r="G138" s="116">
        <f>IF(F138="","",IFERROR(INDEX(Map!$B$2:$B$38,MATCH(F138,Map!$A$2:$A$38,0)),"UNKNOWN CODE"))</f>
        <v/>
      </c>
      <c r="H138" s="116">
        <f>IF(F138="","",F138&amp;"#"&amp;COUNTIF($F$6:F138,F138))</f>
        <v/>
      </c>
    </row>
    <row r="139" ht="15" customHeight="1" s="90">
      <c r="A139" s="106" t="n"/>
      <c r="B139" s="109" t="n"/>
      <c r="C139" s="109" t="n"/>
      <c r="D139" s="109" t="n"/>
      <c r="E139" s="109" t="n"/>
      <c r="F139" s="106" t="n"/>
      <c r="G139" s="116">
        <f>IF(F139="","",IFERROR(INDEX(Map!$B$2:$B$38,MATCH(F139,Map!$A$2:$A$38,0)),"UNKNOWN CODE"))</f>
        <v/>
      </c>
      <c r="H139" s="116">
        <f>IF(F139="","",F139&amp;"#"&amp;COUNTIF($F$6:F139,F139))</f>
        <v/>
      </c>
    </row>
    <row r="140" ht="15" customHeight="1" s="90">
      <c r="A140" s="106" t="n"/>
      <c r="B140" s="109" t="n"/>
      <c r="C140" s="109" t="n"/>
      <c r="D140" s="109" t="n"/>
      <c r="E140" s="109" t="n"/>
      <c r="F140" s="106" t="n"/>
      <c r="G140" s="116">
        <f>IF(F140="","",IFERROR(INDEX(Map!$B$2:$B$38,MATCH(F140,Map!$A$2:$A$38,0)),"UNKNOWN CODE"))</f>
        <v/>
      </c>
      <c r="H140" s="116">
        <f>IF(F140="","",F140&amp;"#"&amp;COUNTIF($F$6:F140,F140))</f>
        <v/>
      </c>
    </row>
    <row r="141" ht="15" customHeight="1" s="90">
      <c r="A141" s="106" t="n"/>
      <c r="B141" s="109" t="n"/>
      <c r="C141" s="109" t="n"/>
      <c r="D141" s="109" t="n"/>
      <c r="E141" s="109" t="n"/>
      <c r="F141" s="106" t="n"/>
      <c r="G141" s="116">
        <f>IF(F141="","",IFERROR(INDEX(Map!$B$2:$B$38,MATCH(F141,Map!$A$2:$A$38,0)),"UNKNOWN CODE"))</f>
        <v/>
      </c>
      <c r="H141" s="116">
        <f>IF(F141="","",F141&amp;"#"&amp;COUNTIF($F$6:F141,F141))</f>
        <v/>
      </c>
    </row>
    <row r="142" ht="15" customHeight="1" s="90">
      <c r="A142" s="106" t="n"/>
      <c r="B142" s="109" t="n"/>
      <c r="C142" s="109" t="n"/>
      <c r="D142" s="109" t="n"/>
      <c r="E142" s="109" t="n"/>
      <c r="F142" s="106" t="n"/>
      <c r="G142" s="116">
        <f>IF(F142="","",IFERROR(INDEX(Map!$B$2:$B$38,MATCH(F142,Map!$A$2:$A$38,0)),"UNKNOWN CODE"))</f>
        <v/>
      </c>
      <c r="H142" s="116">
        <f>IF(F142="","",F142&amp;"#"&amp;COUNTIF($F$6:F142,F142))</f>
        <v/>
      </c>
    </row>
    <row r="143" ht="15" customHeight="1" s="90">
      <c r="A143" s="106" t="n"/>
      <c r="B143" s="109" t="n"/>
      <c r="C143" s="109" t="n"/>
      <c r="D143" s="109" t="n"/>
      <c r="E143" s="109" t="n"/>
      <c r="F143" s="106" t="n"/>
      <c r="G143" s="116">
        <f>IF(F143="","",IFERROR(INDEX(Map!$B$2:$B$38,MATCH(F143,Map!$A$2:$A$38,0)),"UNKNOWN CODE"))</f>
        <v/>
      </c>
      <c r="H143" s="116">
        <f>IF(F143="","",F143&amp;"#"&amp;COUNTIF($F$6:F143,F143))</f>
        <v/>
      </c>
    </row>
    <row r="144" ht="15" customHeight="1" s="90">
      <c r="A144" s="106" t="n"/>
      <c r="B144" s="109" t="n"/>
      <c r="C144" s="109" t="n"/>
      <c r="D144" s="109" t="n"/>
      <c r="E144" s="109" t="n"/>
      <c r="F144" s="106" t="n"/>
      <c r="G144" s="116">
        <f>IF(F144="","",IFERROR(INDEX(Map!$B$2:$B$38,MATCH(F144,Map!$A$2:$A$38,0)),"UNKNOWN CODE"))</f>
        <v/>
      </c>
      <c r="H144" s="116">
        <f>IF(F144="","",F144&amp;"#"&amp;COUNTIF($F$6:F144,F144))</f>
        <v/>
      </c>
    </row>
    <row r="145" ht="15" customHeight="1" s="90">
      <c r="A145" s="106" t="n"/>
      <c r="B145" s="109" t="n"/>
      <c r="C145" s="109" t="n"/>
      <c r="D145" s="109" t="n"/>
      <c r="E145" s="109" t="n"/>
      <c r="F145" s="106" t="n"/>
      <c r="G145" s="116">
        <f>IF(F145="","",IFERROR(INDEX(Map!$B$2:$B$38,MATCH(F145,Map!$A$2:$A$38,0)),"UNKNOWN CODE"))</f>
        <v/>
      </c>
      <c r="H145" s="116">
        <f>IF(F145="","",F145&amp;"#"&amp;COUNTIF($F$6:F145,F145))</f>
        <v/>
      </c>
    </row>
    <row r="146" ht="15" customHeight="1" s="90">
      <c r="A146" s="106" t="n"/>
      <c r="B146" s="109" t="n"/>
      <c r="C146" s="109" t="n"/>
      <c r="D146" s="109" t="n"/>
      <c r="E146" s="109" t="n"/>
      <c r="F146" s="106" t="n"/>
      <c r="G146" s="116">
        <f>IF(F146="","",IFERROR(INDEX(Map!$B$2:$B$38,MATCH(F146,Map!$A$2:$A$38,0)),"UNKNOWN CODE"))</f>
        <v/>
      </c>
      <c r="H146" s="116">
        <f>IF(F146="","",F146&amp;"#"&amp;COUNTIF($F$6:F146,F146))</f>
        <v/>
      </c>
    </row>
    <row r="147" ht="15" customHeight="1" s="90">
      <c r="A147" s="106" t="n"/>
      <c r="B147" s="109" t="n"/>
      <c r="C147" s="109" t="n"/>
      <c r="D147" s="109" t="n"/>
      <c r="E147" s="109" t="n"/>
      <c r="F147" s="106" t="n"/>
      <c r="G147" s="116">
        <f>IF(F147="","",IFERROR(INDEX(Map!$B$2:$B$38,MATCH(F147,Map!$A$2:$A$38,0)),"UNKNOWN CODE"))</f>
        <v/>
      </c>
      <c r="H147" s="116">
        <f>IF(F147="","",F147&amp;"#"&amp;COUNTIF($F$6:F147,F147))</f>
        <v/>
      </c>
    </row>
    <row r="148" ht="15" customHeight="1" s="90">
      <c r="A148" s="106" t="n"/>
      <c r="B148" s="109" t="n"/>
      <c r="C148" s="109" t="n"/>
      <c r="D148" s="109" t="n"/>
      <c r="E148" s="109" t="n"/>
      <c r="F148" s="106" t="n"/>
      <c r="G148" s="116">
        <f>IF(F148="","",IFERROR(INDEX(Map!$B$2:$B$38,MATCH(F148,Map!$A$2:$A$38,0)),"UNKNOWN CODE"))</f>
        <v/>
      </c>
      <c r="H148" s="116">
        <f>IF(F148="","",F148&amp;"#"&amp;COUNTIF($F$6:F148,F148))</f>
        <v/>
      </c>
    </row>
    <row r="149" ht="15" customHeight="1" s="90">
      <c r="A149" s="106" t="n"/>
      <c r="B149" s="109" t="n"/>
      <c r="C149" s="109" t="n"/>
      <c r="D149" s="109" t="n"/>
      <c r="E149" s="109" t="n"/>
      <c r="F149" s="106" t="n"/>
      <c r="G149" s="116">
        <f>IF(F149="","",IFERROR(INDEX(Map!$B$2:$B$38,MATCH(F149,Map!$A$2:$A$38,0)),"UNKNOWN CODE"))</f>
        <v/>
      </c>
      <c r="H149" s="116">
        <f>IF(F149="","",F149&amp;"#"&amp;COUNTIF($F$6:F149,F149))</f>
        <v/>
      </c>
    </row>
    <row r="150" ht="15" customHeight="1" s="90">
      <c r="A150" s="106" t="n"/>
      <c r="B150" s="109" t="n"/>
      <c r="C150" s="109" t="n"/>
      <c r="D150" s="109" t="n"/>
      <c r="E150" s="109" t="n"/>
      <c r="F150" s="106" t="n"/>
      <c r="G150" s="116">
        <f>IF(F150="","",IFERROR(INDEX(Map!$B$2:$B$38,MATCH(F150,Map!$A$2:$A$38,0)),"UNKNOWN CODE"))</f>
        <v/>
      </c>
      <c r="H150" s="116">
        <f>IF(F150="","",F150&amp;"#"&amp;COUNTIF($F$6:F150,F150))</f>
        <v/>
      </c>
    </row>
    <row r="151" ht="15" customHeight="1" s="90">
      <c r="A151" s="106" t="n"/>
      <c r="B151" s="109" t="n"/>
      <c r="C151" s="109" t="n"/>
      <c r="D151" s="109" t="n"/>
      <c r="E151" s="109" t="n"/>
      <c r="F151" s="106" t="n"/>
      <c r="G151" s="116">
        <f>IF(F151="","",IFERROR(INDEX(Map!$B$2:$B$38,MATCH(F151,Map!$A$2:$A$38,0)),"UNKNOWN CODE"))</f>
        <v/>
      </c>
      <c r="H151" s="116">
        <f>IF(F151="","",F151&amp;"#"&amp;COUNTIF($F$6:F151,F151))</f>
        <v/>
      </c>
    </row>
    <row r="152" ht="15" customHeight="1" s="90">
      <c r="A152" s="106" t="n"/>
      <c r="B152" s="109" t="n"/>
      <c r="C152" s="109" t="n"/>
      <c r="D152" s="109" t="n"/>
      <c r="E152" s="109" t="n"/>
      <c r="F152" s="106" t="n"/>
      <c r="G152" s="116">
        <f>IF(F152="","",IFERROR(INDEX(Map!$B$2:$B$38,MATCH(F152,Map!$A$2:$A$38,0)),"UNKNOWN CODE"))</f>
        <v/>
      </c>
      <c r="H152" s="116">
        <f>IF(F152="","",F152&amp;"#"&amp;COUNTIF($F$6:F152,F152))</f>
        <v/>
      </c>
    </row>
    <row r="153" ht="15" customHeight="1" s="90">
      <c r="A153" s="106" t="n"/>
      <c r="B153" s="109" t="n"/>
      <c r="C153" s="109" t="n"/>
      <c r="D153" s="109" t="n"/>
      <c r="E153" s="109" t="n"/>
      <c r="F153" s="106" t="n"/>
      <c r="G153" s="116">
        <f>IF(F153="","",IFERROR(INDEX(Map!$B$2:$B$38,MATCH(F153,Map!$A$2:$A$38,0)),"UNKNOWN CODE"))</f>
        <v/>
      </c>
      <c r="H153" s="116">
        <f>IF(F153="","",F153&amp;"#"&amp;COUNTIF($F$6:F153,F153))</f>
        <v/>
      </c>
    </row>
    <row r="154" ht="15" customHeight="1" s="90">
      <c r="A154" s="106" t="n"/>
      <c r="B154" s="109" t="n"/>
      <c r="C154" s="109" t="n"/>
      <c r="D154" s="109" t="n"/>
      <c r="E154" s="109" t="n"/>
      <c r="F154" s="106" t="n"/>
      <c r="G154" s="116">
        <f>IF(F154="","",IFERROR(INDEX(Map!$B$2:$B$38,MATCH(F154,Map!$A$2:$A$38,0)),"UNKNOWN CODE"))</f>
        <v/>
      </c>
      <c r="H154" s="116">
        <f>IF(F154="","",F154&amp;"#"&amp;COUNTIF($F$6:F154,F154))</f>
        <v/>
      </c>
    </row>
    <row r="155" ht="15" customHeight="1" s="90">
      <c r="A155" s="106" t="n"/>
      <c r="B155" s="109" t="n"/>
      <c r="C155" s="109" t="n"/>
      <c r="D155" s="109" t="n"/>
      <c r="E155" s="109" t="n"/>
      <c r="F155" s="106" t="n"/>
      <c r="G155" s="116">
        <f>IF(F155="","",IFERROR(INDEX(Map!$B$2:$B$38,MATCH(F155,Map!$A$2:$A$38,0)),"UNKNOWN CODE"))</f>
        <v/>
      </c>
      <c r="H155" s="116">
        <f>IF(F155="","",F155&amp;"#"&amp;COUNTIF($F$6:F155,F155))</f>
        <v/>
      </c>
    </row>
    <row r="156" ht="15" customHeight="1" s="90">
      <c r="A156" s="106" t="n"/>
      <c r="B156" s="109" t="n"/>
      <c r="C156" s="109" t="n"/>
      <c r="D156" s="109" t="n"/>
      <c r="E156" s="109" t="n"/>
      <c r="F156" s="106" t="n"/>
      <c r="G156" s="116">
        <f>IF(F156="","",IFERROR(INDEX(Map!$B$2:$B$38,MATCH(F156,Map!$A$2:$A$38,0)),"UNKNOWN CODE"))</f>
        <v/>
      </c>
      <c r="H156" s="116">
        <f>IF(F156="","",F156&amp;"#"&amp;COUNTIF($F$6:F156,F156))</f>
        <v/>
      </c>
    </row>
    <row r="157" ht="15" customHeight="1" s="90">
      <c r="A157" s="106" t="n"/>
      <c r="B157" s="109" t="n"/>
      <c r="C157" s="109" t="n"/>
      <c r="D157" s="109" t="n"/>
      <c r="E157" s="109" t="n"/>
      <c r="F157" s="106" t="n"/>
      <c r="G157" s="116">
        <f>IF(F157="","",IFERROR(INDEX(Map!$B$2:$B$38,MATCH(F157,Map!$A$2:$A$38,0)),"UNKNOWN CODE"))</f>
        <v/>
      </c>
      <c r="H157" s="116">
        <f>IF(F157="","",F157&amp;"#"&amp;COUNTIF($F$6:F157,F157))</f>
        <v/>
      </c>
    </row>
    <row r="158" ht="15" customHeight="1" s="90">
      <c r="A158" s="106" t="n"/>
      <c r="B158" s="109" t="n"/>
      <c r="C158" s="109" t="n"/>
      <c r="D158" s="109" t="n"/>
      <c r="E158" s="109" t="n"/>
      <c r="F158" s="106" t="n"/>
      <c r="G158" s="116">
        <f>IF(F158="","",IFERROR(INDEX(Map!$B$2:$B$38,MATCH(F158,Map!$A$2:$A$38,0)),"UNKNOWN CODE"))</f>
        <v/>
      </c>
      <c r="H158" s="116">
        <f>IF(F158="","",F158&amp;"#"&amp;COUNTIF($F$6:F158,F158))</f>
        <v/>
      </c>
    </row>
    <row r="159" ht="15" customHeight="1" s="90">
      <c r="A159" s="106" t="n"/>
      <c r="B159" s="109" t="n"/>
      <c r="C159" s="109" t="n"/>
      <c r="D159" s="109" t="n"/>
      <c r="E159" s="109" t="n"/>
      <c r="F159" s="106" t="n"/>
      <c r="G159" s="116">
        <f>IF(F159="","",IFERROR(INDEX(Map!$B$2:$B$38,MATCH(F159,Map!$A$2:$A$38,0)),"UNKNOWN CODE"))</f>
        <v/>
      </c>
      <c r="H159" s="116">
        <f>IF(F159="","",F159&amp;"#"&amp;COUNTIF($F$6:F159,F159))</f>
        <v/>
      </c>
    </row>
    <row r="160" ht="15" customHeight="1" s="90">
      <c r="A160" s="106" t="n"/>
      <c r="B160" s="109" t="n"/>
      <c r="C160" s="109" t="n"/>
      <c r="D160" s="109" t="n"/>
      <c r="E160" s="109" t="n"/>
      <c r="F160" s="106" t="n"/>
      <c r="G160" s="116">
        <f>IF(F160="","",IFERROR(INDEX(Map!$B$2:$B$38,MATCH(F160,Map!$A$2:$A$38,0)),"UNKNOWN CODE"))</f>
        <v/>
      </c>
      <c r="H160" s="116">
        <f>IF(F160="","",F160&amp;"#"&amp;COUNTIF($F$6:F160,F160))</f>
        <v/>
      </c>
    </row>
    <row r="161" ht="15" customHeight="1" s="90">
      <c r="A161" s="106" t="n"/>
      <c r="B161" s="109" t="n"/>
      <c r="C161" s="109" t="n"/>
      <c r="D161" s="109" t="n"/>
      <c r="E161" s="109" t="n"/>
      <c r="F161" s="106" t="n"/>
      <c r="G161" s="116">
        <f>IF(F161="","",IFERROR(INDEX(Map!$B$2:$B$38,MATCH(F161,Map!$A$2:$A$38,0)),"UNKNOWN CODE"))</f>
        <v/>
      </c>
      <c r="H161" s="116">
        <f>IF(F161="","",F161&amp;"#"&amp;COUNTIF($F$6:F161,F161))</f>
        <v/>
      </c>
    </row>
    <row r="162" ht="15" customHeight="1" s="90">
      <c r="A162" s="106" t="n"/>
      <c r="B162" s="109" t="n"/>
      <c r="C162" s="109" t="n"/>
      <c r="D162" s="109" t="n"/>
      <c r="E162" s="109" t="n"/>
      <c r="F162" s="106" t="n"/>
      <c r="G162" s="116">
        <f>IF(F162="","",IFERROR(INDEX(Map!$B$2:$B$38,MATCH(F162,Map!$A$2:$A$38,0)),"UNKNOWN CODE"))</f>
        <v/>
      </c>
      <c r="H162" s="116">
        <f>IF(F162="","",F162&amp;"#"&amp;COUNTIF($F$6:F162,F162))</f>
        <v/>
      </c>
    </row>
    <row r="163" ht="15" customHeight="1" s="90">
      <c r="A163" s="106" t="n"/>
      <c r="B163" s="109" t="n"/>
      <c r="C163" s="109" t="n"/>
      <c r="D163" s="109" t="n"/>
      <c r="E163" s="109" t="n"/>
      <c r="F163" s="106" t="n"/>
      <c r="G163" s="116">
        <f>IF(F163="","",IFERROR(INDEX(Map!$B$2:$B$38,MATCH(F163,Map!$A$2:$A$38,0)),"UNKNOWN CODE"))</f>
        <v/>
      </c>
      <c r="H163" s="116">
        <f>IF(F163="","",F163&amp;"#"&amp;COUNTIF($F$6:F163,F163))</f>
        <v/>
      </c>
    </row>
    <row r="164" ht="15" customHeight="1" s="90">
      <c r="A164" s="106" t="n"/>
      <c r="B164" s="109" t="n"/>
      <c r="C164" s="109" t="n"/>
      <c r="D164" s="109" t="n"/>
      <c r="E164" s="109" t="n"/>
      <c r="F164" s="106" t="n"/>
      <c r="G164" s="116">
        <f>IF(F164="","",IFERROR(INDEX(Map!$B$2:$B$38,MATCH(F164,Map!$A$2:$A$38,0)),"UNKNOWN CODE"))</f>
        <v/>
      </c>
      <c r="H164" s="116">
        <f>IF(F164="","",F164&amp;"#"&amp;COUNTIF($F$6:F164,F164))</f>
        <v/>
      </c>
    </row>
    <row r="165" ht="15" customHeight="1" s="90">
      <c r="A165" s="106" t="n"/>
      <c r="B165" s="109" t="n"/>
      <c r="C165" s="109" t="n"/>
      <c r="D165" s="109" t="n"/>
      <c r="E165" s="109" t="n"/>
      <c r="F165" s="106" t="n"/>
      <c r="G165" s="116">
        <f>IF(F165="","",IFERROR(INDEX(Map!$B$2:$B$38,MATCH(F165,Map!$A$2:$A$38,0)),"UNKNOWN CODE"))</f>
        <v/>
      </c>
      <c r="H165" s="116">
        <f>IF(F165="","",F165&amp;"#"&amp;COUNTIF($F$6:F165,F165))</f>
        <v/>
      </c>
    </row>
    <row r="166" ht="15" customHeight="1" s="90">
      <c r="A166" s="106" t="n"/>
      <c r="B166" s="109" t="n"/>
      <c r="C166" s="109" t="n"/>
      <c r="D166" s="109" t="n"/>
      <c r="E166" s="109" t="n"/>
      <c r="F166" s="106" t="n"/>
      <c r="G166" s="116">
        <f>IF(F166="","",IFERROR(INDEX(Map!$B$2:$B$38,MATCH(F166,Map!$A$2:$A$38,0)),"UNKNOWN CODE"))</f>
        <v/>
      </c>
      <c r="H166" s="116">
        <f>IF(F166="","",F166&amp;"#"&amp;COUNTIF($F$6:F166,F166))</f>
        <v/>
      </c>
    </row>
    <row r="167" ht="15" customHeight="1" s="90">
      <c r="A167" s="106" t="n"/>
      <c r="B167" s="109" t="n"/>
      <c r="C167" s="109" t="n"/>
      <c r="D167" s="109" t="n"/>
      <c r="E167" s="109" t="n"/>
      <c r="F167" s="106" t="n"/>
      <c r="G167" s="116">
        <f>IF(F167="","",IFERROR(INDEX(Map!$B$2:$B$38,MATCH(F167,Map!$A$2:$A$38,0)),"UNKNOWN CODE"))</f>
        <v/>
      </c>
      <c r="H167" s="116">
        <f>IF(F167="","",F167&amp;"#"&amp;COUNTIF($F$6:F167,F167))</f>
        <v/>
      </c>
    </row>
    <row r="168" ht="15" customHeight="1" s="90">
      <c r="A168" s="106" t="n"/>
      <c r="B168" s="109" t="n"/>
      <c r="C168" s="109" t="n"/>
      <c r="D168" s="109" t="n"/>
      <c r="E168" s="109" t="n"/>
      <c r="F168" s="106" t="n"/>
      <c r="G168" s="116">
        <f>IF(F168="","",IFERROR(INDEX(Map!$B$2:$B$38,MATCH(F168,Map!$A$2:$A$38,0)),"UNKNOWN CODE"))</f>
        <v/>
      </c>
      <c r="H168" s="116">
        <f>IF(F168="","",F168&amp;"#"&amp;COUNTIF($F$6:F168,F168))</f>
        <v/>
      </c>
    </row>
    <row r="169" ht="15" customHeight="1" s="90">
      <c r="A169" s="106" t="n"/>
      <c r="B169" s="109" t="n"/>
      <c r="C169" s="109" t="n"/>
      <c r="D169" s="109" t="n"/>
      <c r="E169" s="109" t="n"/>
      <c r="F169" s="106" t="n"/>
      <c r="G169" s="116">
        <f>IF(F169="","",IFERROR(INDEX(Map!$B$2:$B$38,MATCH(F169,Map!$A$2:$A$38,0)),"UNKNOWN CODE"))</f>
        <v/>
      </c>
      <c r="H169" s="116">
        <f>IF(F169="","",F169&amp;"#"&amp;COUNTIF($F$6:F169,F169))</f>
        <v/>
      </c>
    </row>
    <row r="170" ht="15" customHeight="1" s="90">
      <c r="A170" s="106" t="n"/>
      <c r="B170" s="109" t="n"/>
      <c r="C170" s="109" t="n"/>
      <c r="D170" s="109" t="n"/>
      <c r="E170" s="109" t="n"/>
      <c r="F170" s="106" t="n"/>
      <c r="G170" s="116">
        <f>IF(F170="","",IFERROR(INDEX(Map!$B$2:$B$38,MATCH(F170,Map!$A$2:$A$38,0)),"UNKNOWN CODE"))</f>
        <v/>
      </c>
      <c r="H170" s="116">
        <f>IF(F170="","",F170&amp;"#"&amp;COUNTIF($F$6:F170,F170))</f>
        <v/>
      </c>
    </row>
    <row r="171" ht="15" customHeight="1" s="90">
      <c r="A171" s="106" t="n"/>
      <c r="B171" s="109" t="n"/>
      <c r="C171" s="109" t="n"/>
      <c r="D171" s="109" t="n"/>
      <c r="E171" s="109" t="n"/>
      <c r="F171" s="106" t="n"/>
      <c r="G171" s="116">
        <f>IF(F171="","",IFERROR(INDEX(Map!$B$2:$B$38,MATCH(F171,Map!$A$2:$A$38,0)),"UNKNOWN CODE"))</f>
        <v/>
      </c>
      <c r="H171" s="116">
        <f>IF(F171="","",F171&amp;"#"&amp;COUNTIF($F$6:F171,F171))</f>
        <v/>
      </c>
    </row>
    <row r="172" ht="15" customHeight="1" s="90">
      <c r="A172" s="106" t="n"/>
      <c r="B172" s="109" t="n"/>
      <c r="C172" s="109" t="n"/>
      <c r="D172" s="109" t="n"/>
      <c r="E172" s="109" t="n"/>
      <c r="F172" s="106" t="n"/>
      <c r="G172" s="116">
        <f>IF(F172="","",IFERROR(INDEX(Map!$B$2:$B$38,MATCH(F172,Map!$A$2:$A$38,0)),"UNKNOWN CODE"))</f>
        <v/>
      </c>
      <c r="H172" s="116">
        <f>IF(F172="","",F172&amp;"#"&amp;COUNTIF($F$6:F172,F172))</f>
        <v/>
      </c>
    </row>
    <row r="173" ht="15" customHeight="1" s="90">
      <c r="A173" s="106" t="n"/>
      <c r="B173" s="109" t="n"/>
      <c r="C173" s="109" t="n"/>
      <c r="D173" s="109" t="n"/>
      <c r="E173" s="109" t="n"/>
      <c r="F173" s="106" t="n"/>
      <c r="G173" s="116">
        <f>IF(F173="","",IFERROR(INDEX(Map!$B$2:$B$38,MATCH(F173,Map!$A$2:$A$38,0)),"UNKNOWN CODE"))</f>
        <v/>
      </c>
      <c r="H173" s="116">
        <f>IF(F173="","",F173&amp;"#"&amp;COUNTIF($F$6:F173,F173))</f>
        <v/>
      </c>
    </row>
    <row r="174" ht="15" customHeight="1" s="90">
      <c r="A174" s="106" t="n"/>
      <c r="B174" s="109" t="n"/>
      <c r="C174" s="109" t="n"/>
      <c r="D174" s="109" t="n"/>
      <c r="E174" s="109" t="n"/>
      <c r="F174" s="106" t="n"/>
      <c r="G174" s="116">
        <f>IF(F174="","",IFERROR(INDEX(Map!$B$2:$B$38,MATCH(F174,Map!$A$2:$A$38,0)),"UNKNOWN CODE"))</f>
        <v/>
      </c>
      <c r="H174" s="116">
        <f>IF(F174="","",F174&amp;"#"&amp;COUNTIF($F$6:F174,F174))</f>
        <v/>
      </c>
    </row>
    <row r="175" ht="15" customHeight="1" s="90">
      <c r="A175" s="106" t="n"/>
      <c r="B175" s="109" t="n"/>
      <c r="C175" s="109" t="n"/>
      <c r="D175" s="109" t="n"/>
      <c r="E175" s="109" t="n"/>
      <c r="F175" s="106" t="n"/>
      <c r="G175" s="116">
        <f>IF(F175="","",IFERROR(INDEX(Map!$B$2:$B$38,MATCH(F175,Map!$A$2:$A$38,0)),"UNKNOWN CODE"))</f>
        <v/>
      </c>
      <c r="H175" s="116">
        <f>IF(F175="","",F175&amp;"#"&amp;COUNTIF($F$6:F175,F175))</f>
        <v/>
      </c>
    </row>
    <row r="176" ht="15" customHeight="1" s="90">
      <c r="A176" s="106" t="n"/>
      <c r="B176" s="109" t="n"/>
      <c r="C176" s="109" t="n"/>
      <c r="D176" s="109" t="n"/>
      <c r="E176" s="109" t="n"/>
      <c r="F176" s="106" t="n"/>
      <c r="G176" s="116">
        <f>IF(F176="","",IFERROR(INDEX(Map!$B$2:$B$38,MATCH(F176,Map!$A$2:$A$38,0)),"UNKNOWN CODE"))</f>
        <v/>
      </c>
      <c r="H176" s="116">
        <f>IF(F176="","",F176&amp;"#"&amp;COUNTIF($F$6:F176,F176))</f>
        <v/>
      </c>
    </row>
    <row r="177" ht="15" customHeight="1" s="90">
      <c r="A177" s="106" t="n"/>
      <c r="B177" s="109" t="n"/>
      <c r="C177" s="109" t="n"/>
      <c r="D177" s="109" t="n"/>
      <c r="E177" s="109" t="n"/>
      <c r="F177" s="106" t="n"/>
      <c r="G177" s="116">
        <f>IF(F177="","",IFERROR(INDEX(Map!$B$2:$B$38,MATCH(F177,Map!$A$2:$A$38,0)),"UNKNOWN CODE"))</f>
        <v/>
      </c>
      <c r="H177" s="116">
        <f>IF(F177="","",F177&amp;"#"&amp;COUNTIF($F$6:F177,F177))</f>
        <v/>
      </c>
    </row>
    <row r="178" ht="15" customHeight="1" s="90">
      <c r="A178" s="106" t="n"/>
      <c r="B178" s="109" t="n"/>
      <c r="C178" s="109" t="n"/>
      <c r="D178" s="109" t="n"/>
      <c r="E178" s="109" t="n"/>
      <c r="F178" s="106" t="n"/>
      <c r="G178" s="116">
        <f>IF(F178="","",IFERROR(INDEX(Map!$B$2:$B$38,MATCH(F178,Map!$A$2:$A$38,0)),"UNKNOWN CODE"))</f>
        <v/>
      </c>
      <c r="H178" s="116">
        <f>IF(F178="","",F178&amp;"#"&amp;COUNTIF($F$6:F178,F178))</f>
        <v/>
      </c>
    </row>
    <row r="179" ht="15" customHeight="1" s="90">
      <c r="A179" s="106" t="n"/>
      <c r="B179" s="109" t="n"/>
      <c r="C179" s="109" t="n"/>
      <c r="D179" s="109" t="n"/>
      <c r="E179" s="109" t="n"/>
      <c r="F179" s="106" t="n"/>
      <c r="G179" s="116">
        <f>IF(F179="","",IFERROR(INDEX(Map!$B$2:$B$38,MATCH(F179,Map!$A$2:$A$38,0)),"UNKNOWN CODE"))</f>
        <v/>
      </c>
      <c r="H179" s="116">
        <f>IF(F179="","",F179&amp;"#"&amp;COUNTIF($F$6:F179,F179))</f>
        <v/>
      </c>
    </row>
    <row r="180" ht="15" customHeight="1" s="90">
      <c r="A180" s="106" t="n"/>
      <c r="B180" s="109" t="n"/>
      <c r="C180" s="109" t="n"/>
      <c r="D180" s="109" t="n"/>
      <c r="E180" s="109" t="n"/>
      <c r="F180" s="106" t="n"/>
      <c r="G180" s="116">
        <f>IF(F180="","",IFERROR(INDEX(Map!$B$2:$B$38,MATCH(F180,Map!$A$2:$A$38,0)),"UNKNOWN CODE"))</f>
        <v/>
      </c>
      <c r="H180" s="116">
        <f>IF(F180="","",F180&amp;"#"&amp;COUNTIF($F$6:F180,F180))</f>
        <v/>
      </c>
    </row>
    <row r="181" ht="15" customHeight="1" s="90">
      <c r="A181" s="106" t="n"/>
      <c r="B181" s="109" t="n"/>
      <c r="C181" s="109" t="n"/>
      <c r="D181" s="109" t="n"/>
      <c r="E181" s="109" t="n"/>
      <c r="F181" s="106" t="n"/>
      <c r="G181" s="116">
        <f>IF(F181="","",IFERROR(INDEX(Map!$B$2:$B$38,MATCH(F181,Map!$A$2:$A$38,0)),"UNKNOWN CODE"))</f>
        <v/>
      </c>
      <c r="H181" s="116">
        <f>IF(F181="","",F181&amp;"#"&amp;COUNTIF($F$6:F181,F181))</f>
        <v/>
      </c>
    </row>
    <row r="182" ht="15" customHeight="1" s="90">
      <c r="A182" s="106" t="n"/>
      <c r="B182" s="109" t="n"/>
      <c r="C182" s="109" t="n"/>
      <c r="D182" s="109" t="n"/>
      <c r="E182" s="109" t="n"/>
      <c r="F182" s="106" t="n"/>
      <c r="G182" s="116">
        <f>IF(F182="","",IFERROR(INDEX(Map!$B$2:$B$38,MATCH(F182,Map!$A$2:$A$38,0)),"UNKNOWN CODE"))</f>
        <v/>
      </c>
      <c r="H182" s="116">
        <f>IF(F182="","",F182&amp;"#"&amp;COUNTIF($F$6:F182,F182))</f>
        <v/>
      </c>
    </row>
    <row r="183" ht="15" customHeight="1" s="90">
      <c r="A183" s="106" t="n"/>
      <c r="B183" s="109" t="n"/>
      <c r="C183" s="109" t="n"/>
      <c r="D183" s="109" t="n"/>
      <c r="E183" s="109" t="n"/>
      <c r="F183" s="106" t="n"/>
      <c r="G183" s="116">
        <f>IF(F183="","",IFERROR(INDEX(Map!$B$2:$B$38,MATCH(F183,Map!$A$2:$A$38,0)),"UNKNOWN CODE"))</f>
        <v/>
      </c>
      <c r="H183" s="116">
        <f>IF(F183="","",F183&amp;"#"&amp;COUNTIF($F$6:F183,F183))</f>
        <v/>
      </c>
    </row>
    <row r="184" ht="15" customHeight="1" s="90">
      <c r="A184" s="106" t="n"/>
      <c r="B184" s="109" t="n"/>
      <c r="C184" s="109" t="n"/>
      <c r="D184" s="109" t="n"/>
      <c r="E184" s="109" t="n"/>
      <c r="F184" s="106" t="n"/>
      <c r="G184" s="116">
        <f>IF(F184="","",IFERROR(INDEX(Map!$B$2:$B$38,MATCH(F184,Map!$A$2:$A$38,0)),"UNKNOWN CODE"))</f>
        <v/>
      </c>
      <c r="H184" s="116">
        <f>IF(F184="","",F184&amp;"#"&amp;COUNTIF($F$6:F184,F184))</f>
        <v/>
      </c>
    </row>
    <row r="185" ht="15" customHeight="1" s="90">
      <c r="A185" s="106" t="n"/>
      <c r="B185" s="109" t="n"/>
      <c r="C185" s="109" t="n"/>
      <c r="D185" s="109" t="n"/>
      <c r="E185" s="109" t="n"/>
      <c r="F185" s="106" t="n"/>
      <c r="G185" s="116">
        <f>IF(F185="","",IFERROR(INDEX(Map!$B$2:$B$38,MATCH(F185,Map!$A$2:$A$38,0)),"UNKNOWN CODE"))</f>
        <v/>
      </c>
      <c r="H185" s="116">
        <f>IF(F185="","",F185&amp;"#"&amp;COUNTIF($F$6:F185,F185))</f>
        <v/>
      </c>
    </row>
    <row r="186" ht="15" customHeight="1" s="90">
      <c r="A186" s="106" t="n"/>
      <c r="B186" s="109" t="n"/>
      <c r="C186" s="109" t="n"/>
      <c r="D186" s="109" t="n"/>
      <c r="E186" s="109" t="n"/>
      <c r="F186" s="106" t="n"/>
      <c r="G186" s="116">
        <f>IF(F186="","",IFERROR(INDEX(Map!$B$2:$B$38,MATCH(F186,Map!$A$2:$A$38,0)),"UNKNOWN CODE"))</f>
        <v/>
      </c>
      <c r="H186" s="116">
        <f>IF(F186="","",F186&amp;"#"&amp;COUNTIF($F$6:F186,F186))</f>
        <v/>
      </c>
    </row>
    <row r="187" ht="15" customHeight="1" s="90">
      <c r="A187" s="106" t="n"/>
      <c r="B187" s="109" t="n"/>
      <c r="C187" s="109" t="n"/>
      <c r="D187" s="109" t="n"/>
      <c r="E187" s="109" t="n"/>
      <c r="F187" s="106" t="n"/>
      <c r="G187" s="116">
        <f>IF(F187="","",IFERROR(INDEX(Map!$B$2:$B$38,MATCH(F187,Map!$A$2:$A$38,0)),"UNKNOWN CODE"))</f>
        <v/>
      </c>
      <c r="H187" s="116">
        <f>IF(F187="","",F187&amp;"#"&amp;COUNTIF($F$6:F187,F187))</f>
        <v/>
      </c>
    </row>
    <row r="188" ht="15" customHeight="1" s="90">
      <c r="A188" s="106" t="n"/>
      <c r="B188" s="109" t="n"/>
      <c r="C188" s="109" t="n"/>
      <c r="D188" s="109" t="n"/>
      <c r="E188" s="109" t="n"/>
      <c r="F188" s="106" t="n"/>
      <c r="G188" s="116">
        <f>IF(F188="","",IFERROR(INDEX(Map!$B$2:$B$38,MATCH(F188,Map!$A$2:$A$38,0)),"UNKNOWN CODE"))</f>
        <v/>
      </c>
      <c r="H188" s="116">
        <f>IF(F188="","",F188&amp;"#"&amp;COUNTIF($F$6:F188,F188))</f>
        <v/>
      </c>
    </row>
    <row r="189" ht="15" customHeight="1" s="90">
      <c r="A189" s="106" t="n"/>
      <c r="B189" s="109" t="n"/>
      <c r="C189" s="109" t="n"/>
      <c r="D189" s="109" t="n"/>
      <c r="E189" s="109" t="n"/>
      <c r="F189" s="106" t="n"/>
      <c r="G189" s="116">
        <f>IF(F189="","",IFERROR(INDEX(Map!$B$2:$B$38,MATCH(F189,Map!$A$2:$A$38,0)),"UNKNOWN CODE"))</f>
        <v/>
      </c>
      <c r="H189" s="116">
        <f>IF(F189="","",F189&amp;"#"&amp;COUNTIF($F$6:F189,F189))</f>
        <v/>
      </c>
    </row>
    <row r="190" ht="15" customHeight="1" s="90">
      <c r="A190" s="106" t="n"/>
      <c r="B190" s="109" t="n"/>
      <c r="C190" s="109" t="n"/>
      <c r="D190" s="109" t="n"/>
      <c r="E190" s="109" t="n"/>
      <c r="F190" s="106" t="n"/>
      <c r="G190" s="116">
        <f>IF(F190="","",IFERROR(INDEX(Map!$B$2:$B$38,MATCH(F190,Map!$A$2:$A$38,0)),"UNKNOWN CODE"))</f>
        <v/>
      </c>
      <c r="H190" s="116">
        <f>IF(F190="","",F190&amp;"#"&amp;COUNTIF($F$6:F190,F190))</f>
        <v/>
      </c>
    </row>
    <row r="191" ht="15" customHeight="1" s="90">
      <c r="A191" s="106" t="n"/>
      <c r="B191" s="109" t="n"/>
      <c r="C191" s="109" t="n"/>
      <c r="D191" s="109" t="n"/>
      <c r="E191" s="109" t="n"/>
      <c r="F191" s="106" t="n"/>
      <c r="G191" s="116">
        <f>IF(F191="","",IFERROR(INDEX(Map!$B$2:$B$38,MATCH(F191,Map!$A$2:$A$38,0)),"UNKNOWN CODE"))</f>
        <v/>
      </c>
      <c r="H191" s="116">
        <f>IF(F191="","",F191&amp;"#"&amp;COUNTIF($F$6:F191,F191))</f>
        <v/>
      </c>
    </row>
    <row r="192" ht="15" customHeight="1" s="90">
      <c r="A192" s="106" t="n"/>
      <c r="B192" s="109" t="n"/>
      <c r="C192" s="109" t="n"/>
      <c r="D192" s="109" t="n"/>
      <c r="E192" s="109" t="n"/>
      <c r="F192" s="106" t="n"/>
      <c r="G192" s="116">
        <f>IF(F192="","",IFERROR(INDEX(Map!$B$2:$B$38,MATCH(F192,Map!$A$2:$A$38,0)),"UNKNOWN CODE"))</f>
        <v/>
      </c>
      <c r="H192" s="116">
        <f>IF(F192="","",F192&amp;"#"&amp;COUNTIF($F$6:F192,F192))</f>
        <v/>
      </c>
    </row>
    <row r="193" ht="15" customHeight="1" s="90">
      <c r="A193" s="106" t="n"/>
      <c r="B193" s="109" t="n"/>
      <c r="C193" s="109" t="n"/>
      <c r="D193" s="109" t="n"/>
      <c r="E193" s="109" t="n"/>
      <c r="F193" s="106" t="n"/>
      <c r="G193" s="116">
        <f>IF(F193="","",IFERROR(INDEX(Map!$B$2:$B$38,MATCH(F193,Map!$A$2:$A$38,0)),"UNKNOWN CODE"))</f>
        <v/>
      </c>
      <c r="H193" s="116">
        <f>IF(F193="","",F193&amp;"#"&amp;COUNTIF($F$6:F193,F193))</f>
        <v/>
      </c>
    </row>
    <row r="194" ht="15" customHeight="1" s="90">
      <c r="A194" s="106" t="n"/>
      <c r="B194" s="109" t="n"/>
      <c r="C194" s="109" t="n"/>
      <c r="D194" s="109" t="n"/>
      <c r="E194" s="109" t="n"/>
      <c r="F194" s="106" t="n"/>
      <c r="G194" s="116">
        <f>IF(F194="","",IFERROR(INDEX(Map!$B$2:$B$38,MATCH(F194,Map!$A$2:$A$38,0)),"UNKNOWN CODE"))</f>
        <v/>
      </c>
      <c r="H194" s="116">
        <f>IF(F194="","",F194&amp;"#"&amp;COUNTIF($F$6:F194,F194))</f>
        <v/>
      </c>
    </row>
    <row r="195" ht="15" customHeight="1" s="90">
      <c r="A195" s="106" t="n"/>
      <c r="B195" s="109" t="n"/>
      <c r="C195" s="109" t="n"/>
      <c r="D195" s="109" t="n"/>
      <c r="E195" s="109" t="n"/>
      <c r="F195" s="106" t="n"/>
      <c r="G195" s="116">
        <f>IF(F195="","",IFERROR(INDEX(Map!$B$2:$B$38,MATCH(F195,Map!$A$2:$A$38,0)),"UNKNOWN CODE"))</f>
        <v/>
      </c>
      <c r="H195" s="116">
        <f>IF(F195="","",F195&amp;"#"&amp;COUNTIF($F$6:F195,F195))</f>
        <v/>
      </c>
    </row>
    <row r="196" ht="15" customHeight="1" s="90">
      <c r="A196" s="106" t="n"/>
      <c r="B196" s="109" t="n"/>
      <c r="C196" s="109" t="n"/>
      <c r="D196" s="109" t="n"/>
      <c r="E196" s="109" t="n"/>
      <c r="F196" s="106" t="n"/>
      <c r="G196" s="116">
        <f>IF(F196="","",IFERROR(INDEX(Map!$B$2:$B$38,MATCH(F196,Map!$A$2:$A$38,0)),"UNKNOWN CODE"))</f>
        <v/>
      </c>
      <c r="H196" s="116">
        <f>IF(F196="","",F196&amp;"#"&amp;COUNTIF($F$6:F196,F196))</f>
        <v/>
      </c>
    </row>
    <row r="197" ht="15" customHeight="1" s="90">
      <c r="A197" s="106" t="n"/>
      <c r="B197" s="109" t="n"/>
      <c r="C197" s="109" t="n"/>
      <c r="D197" s="109" t="n"/>
      <c r="E197" s="109" t="n"/>
      <c r="F197" s="106" t="n"/>
      <c r="G197" s="116">
        <f>IF(F197="","",IFERROR(INDEX(Map!$B$2:$B$38,MATCH(F197,Map!$A$2:$A$38,0)),"UNKNOWN CODE"))</f>
        <v/>
      </c>
      <c r="H197" s="116">
        <f>IF(F197="","",F197&amp;"#"&amp;COUNTIF($F$6:F197,F197))</f>
        <v/>
      </c>
    </row>
    <row r="198" ht="15" customHeight="1" s="90">
      <c r="A198" s="106" t="n"/>
      <c r="B198" s="109" t="n"/>
      <c r="C198" s="109" t="n"/>
      <c r="D198" s="109" t="n"/>
      <c r="E198" s="109" t="n"/>
      <c r="F198" s="106" t="n"/>
      <c r="G198" s="116">
        <f>IF(F198="","",IFERROR(INDEX(Map!$B$2:$B$38,MATCH(F198,Map!$A$2:$A$38,0)),"UNKNOWN CODE"))</f>
        <v/>
      </c>
      <c r="H198" s="116">
        <f>IF(F198="","",F198&amp;"#"&amp;COUNTIF($F$6:F198,F198))</f>
        <v/>
      </c>
    </row>
    <row r="199" ht="15" customHeight="1" s="90">
      <c r="A199" s="106" t="n"/>
      <c r="B199" s="109" t="n"/>
      <c r="C199" s="109" t="n"/>
      <c r="D199" s="109" t="n"/>
      <c r="E199" s="109" t="n"/>
      <c r="F199" s="106" t="n"/>
      <c r="G199" s="116">
        <f>IF(F199="","",IFERROR(INDEX(Map!$B$2:$B$38,MATCH(F199,Map!$A$2:$A$38,0)),"UNKNOWN CODE"))</f>
        <v/>
      </c>
      <c r="H199" s="116">
        <f>IF(F199="","",F199&amp;"#"&amp;COUNTIF($F$6:F199,F199))</f>
        <v/>
      </c>
    </row>
    <row r="200" ht="15" customHeight="1" s="90">
      <c r="A200" s="106" t="n"/>
      <c r="B200" s="109" t="n"/>
      <c r="C200" s="109" t="n"/>
      <c r="D200" s="109" t="n"/>
      <c r="E200" s="109" t="n"/>
      <c r="F200" s="106" t="n"/>
      <c r="G200" s="116">
        <f>IF(F200="","",IFERROR(INDEX(Map!$B$2:$B$38,MATCH(F200,Map!$A$2:$A$38,0)),"UNKNOWN CODE"))</f>
        <v/>
      </c>
      <c r="H200" s="116">
        <f>IF(F200="","",F200&amp;"#"&amp;COUNTIF($F$6:F200,F200))</f>
        <v/>
      </c>
    </row>
    <row r="201" ht="15" customHeight="1" s="90">
      <c r="A201" s="106" t="n"/>
      <c r="B201" s="109" t="n"/>
      <c r="C201" s="109" t="n"/>
      <c r="D201" s="109" t="n"/>
      <c r="E201" s="109" t="n"/>
      <c r="F201" s="106" t="n"/>
      <c r="G201" s="116">
        <f>IF(F201="","",IFERROR(INDEX(Map!$B$2:$B$38,MATCH(F201,Map!$A$2:$A$38,0)),"UNKNOWN CODE"))</f>
        <v/>
      </c>
      <c r="H201" s="116">
        <f>IF(F201="","",F201&amp;"#"&amp;COUNTIF($F$6:F201,F201))</f>
        <v/>
      </c>
    </row>
    <row r="202" ht="15" customHeight="1" s="90">
      <c r="A202" s="106" t="n"/>
      <c r="B202" s="109" t="n"/>
      <c r="C202" s="109" t="n"/>
      <c r="D202" s="109" t="n"/>
      <c r="E202" s="109" t="n"/>
      <c r="F202" s="106" t="n"/>
      <c r="G202" s="116">
        <f>IF(F202="","",IFERROR(INDEX(Map!$B$2:$B$38,MATCH(F202,Map!$A$2:$A$38,0)),"UNKNOWN CODE"))</f>
        <v/>
      </c>
      <c r="H202" s="116">
        <f>IF(F202="","",F202&amp;"#"&amp;COUNTIF($F$6:F202,F202))</f>
        <v/>
      </c>
    </row>
    <row r="203" ht="15" customHeight="1" s="90">
      <c r="A203" s="106" t="n"/>
      <c r="B203" s="109" t="n"/>
      <c r="C203" s="109" t="n"/>
      <c r="D203" s="109" t="n"/>
      <c r="E203" s="109" t="n"/>
      <c r="F203" s="106" t="n"/>
      <c r="G203" s="116">
        <f>IF(F203="","",IFERROR(INDEX(Map!$B$2:$B$38,MATCH(F203,Map!$A$2:$A$38,0)),"UNKNOWN CODE"))</f>
        <v/>
      </c>
      <c r="H203" s="116">
        <f>IF(F203="","",F203&amp;"#"&amp;COUNTIF($F$6:F203,F203))</f>
        <v/>
      </c>
    </row>
    <row r="204" ht="15" customHeight="1" s="90">
      <c r="A204" s="106" t="n"/>
      <c r="B204" s="109" t="n"/>
      <c r="C204" s="109" t="n"/>
      <c r="D204" s="109" t="n"/>
      <c r="E204" s="109" t="n"/>
      <c r="F204" s="106" t="n"/>
      <c r="G204" s="116">
        <f>IF(F204="","",IFERROR(INDEX(Map!$B$2:$B$38,MATCH(F204,Map!$A$2:$A$38,0)),"UNKNOWN CODE"))</f>
        <v/>
      </c>
      <c r="H204" s="116">
        <f>IF(F204="","",F204&amp;"#"&amp;COUNTIF($F$6:F204,F204))</f>
        <v/>
      </c>
    </row>
    <row r="205" ht="15" customHeight="1" s="90">
      <c r="A205" s="106" t="n"/>
      <c r="B205" s="109" t="n"/>
      <c r="C205" s="109" t="n"/>
      <c r="D205" s="109" t="n"/>
      <c r="E205" s="109" t="n"/>
      <c r="F205" s="106" t="n"/>
      <c r="G205" s="116">
        <f>IF(F205="","",IFERROR(INDEX(Map!$B$2:$B$38,MATCH(F205,Map!$A$2:$A$38,0)),"UNKNOWN CODE"))</f>
        <v/>
      </c>
      <c r="H205" s="116">
        <f>IF(F205="","",F205&amp;"#"&amp;COUNTIF($F$6:F205,F205))</f>
        <v/>
      </c>
    </row>
    <row r="206" ht="15" customHeight="1" s="90">
      <c r="A206" s="106" t="n"/>
      <c r="B206" s="109" t="n"/>
      <c r="C206" s="109" t="n"/>
      <c r="D206" s="109" t="n"/>
      <c r="E206" s="109" t="n"/>
      <c r="F206" s="106" t="n"/>
      <c r="G206" s="116">
        <f>IF(F206="","",IFERROR(INDEX(Map!$B$2:$B$38,MATCH(F206,Map!$A$2:$A$38,0)),"UNKNOWN CODE"))</f>
        <v/>
      </c>
      <c r="H206" s="116">
        <f>IF(F206="","",F206&amp;"#"&amp;COUNTIF($F$6:F206,F206))</f>
        <v/>
      </c>
    </row>
    <row r="207" ht="15" customHeight="1" s="90">
      <c r="A207" s="106" t="n"/>
      <c r="B207" s="109" t="n"/>
      <c r="C207" s="109" t="n"/>
      <c r="D207" s="109" t="n"/>
      <c r="E207" s="109" t="n"/>
      <c r="F207" s="106" t="n"/>
      <c r="G207" s="116">
        <f>IF(F207="","",IFERROR(INDEX(Map!$B$2:$B$38,MATCH(F207,Map!$A$2:$A$38,0)),"UNKNOWN CODE"))</f>
        <v/>
      </c>
      <c r="H207" s="116">
        <f>IF(F207="","",F207&amp;"#"&amp;COUNTIF($F$6:F207,F207))</f>
        <v/>
      </c>
    </row>
    <row r="208" ht="15" customHeight="1" s="90">
      <c r="A208" s="106" t="n"/>
      <c r="B208" s="109" t="n"/>
      <c r="C208" s="109" t="n"/>
      <c r="D208" s="109" t="n"/>
      <c r="E208" s="109" t="n"/>
      <c r="F208" s="106" t="n"/>
      <c r="G208" s="116">
        <f>IF(F208="","",IFERROR(INDEX(Map!$B$2:$B$38,MATCH(F208,Map!$A$2:$A$38,0)),"UNKNOWN CODE"))</f>
        <v/>
      </c>
      <c r="H208" s="116">
        <f>IF(F208="","",F208&amp;"#"&amp;COUNTIF($F$6:F208,F208))</f>
        <v/>
      </c>
    </row>
    <row r="209" ht="15" customHeight="1" s="90">
      <c r="A209" s="106" t="n"/>
      <c r="B209" s="109" t="n"/>
      <c r="C209" s="109" t="n"/>
      <c r="D209" s="109" t="n"/>
      <c r="E209" s="109" t="n"/>
      <c r="F209" s="106" t="n"/>
      <c r="G209" s="116">
        <f>IF(F209="","",IFERROR(INDEX(Map!$B$2:$B$38,MATCH(F209,Map!$A$2:$A$38,0)),"UNKNOWN CODE"))</f>
        <v/>
      </c>
      <c r="H209" s="116">
        <f>IF(F209="","",F209&amp;"#"&amp;COUNTIF($F$6:F209,F209))</f>
        <v/>
      </c>
    </row>
    <row r="210" ht="15" customHeight="1" s="90">
      <c r="A210" s="106" t="n"/>
      <c r="B210" s="109" t="n"/>
      <c r="C210" s="109" t="n"/>
      <c r="D210" s="109" t="n"/>
      <c r="E210" s="109" t="n"/>
      <c r="F210" s="106" t="n"/>
      <c r="G210" s="116">
        <f>IF(F210="","",IFERROR(INDEX(Map!$B$2:$B$38,MATCH(F210,Map!$A$2:$A$38,0)),"UNKNOWN CODE"))</f>
        <v/>
      </c>
      <c r="H210" s="116">
        <f>IF(F210="","",F210&amp;"#"&amp;COUNTIF($F$6:F210,F210))</f>
        <v/>
      </c>
    </row>
    <row r="211" ht="15" customHeight="1" s="90">
      <c r="A211" s="106" t="n"/>
      <c r="B211" s="109" t="n"/>
      <c r="C211" s="109" t="n"/>
      <c r="D211" s="109" t="n"/>
      <c r="E211" s="109" t="n"/>
      <c r="F211" s="106" t="n"/>
      <c r="G211" s="116">
        <f>IF(F211="","",IFERROR(INDEX(Map!$B$2:$B$38,MATCH(F211,Map!$A$2:$A$38,0)),"UNKNOWN CODE"))</f>
        <v/>
      </c>
      <c r="H211" s="116">
        <f>IF(F211="","",F211&amp;"#"&amp;COUNTIF($F$6:F211,F211))</f>
        <v/>
      </c>
    </row>
    <row r="212" ht="15" customHeight="1" s="90">
      <c r="A212" s="106" t="n"/>
      <c r="B212" s="109" t="n"/>
      <c r="C212" s="109" t="n"/>
      <c r="D212" s="109" t="n"/>
      <c r="E212" s="109" t="n"/>
      <c r="F212" s="106" t="n"/>
      <c r="G212" s="116">
        <f>IF(F212="","",IFERROR(INDEX(Map!$B$2:$B$38,MATCH(F212,Map!$A$2:$A$38,0)),"UNKNOWN CODE"))</f>
        <v/>
      </c>
      <c r="H212" s="116">
        <f>IF(F212="","",F212&amp;"#"&amp;COUNTIF($F$6:F212,F212))</f>
        <v/>
      </c>
    </row>
    <row r="213" ht="15" customHeight="1" s="90">
      <c r="A213" s="106" t="n"/>
      <c r="B213" s="109" t="n"/>
      <c r="C213" s="109" t="n"/>
      <c r="D213" s="109" t="n"/>
      <c r="E213" s="109" t="n"/>
      <c r="F213" s="106" t="n"/>
      <c r="G213" s="116">
        <f>IF(F213="","",IFERROR(INDEX(Map!$B$2:$B$38,MATCH(F213,Map!$A$2:$A$38,0)),"UNKNOWN CODE"))</f>
        <v/>
      </c>
      <c r="H213" s="116">
        <f>IF(F213="","",F213&amp;"#"&amp;COUNTIF($F$6:F213,F213))</f>
        <v/>
      </c>
    </row>
    <row r="214" ht="15" customHeight="1" s="90">
      <c r="A214" s="106" t="n"/>
      <c r="B214" s="109" t="n"/>
      <c r="C214" s="109" t="n"/>
      <c r="D214" s="109" t="n"/>
      <c r="E214" s="109" t="n"/>
      <c r="F214" s="106" t="n"/>
      <c r="G214" s="116">
        <f>IF(F214="","",IFERROR(INDEX(Map!$B$2:$B$38,MATCH(F214,Map!$A$2:$A$38,0)),"UNKNOWN CODE"))</f>
        <v/>
      </c>
      <c r="H214" s="116">
        <f>IF(F214="","",F214&amp;"#"&amp;COUNTIF($F$6:F214,F214))</f>
        <v/>
      </c>
    </row>
    <row r="215" ht="15" customHeight="1" s="90">
      <c r="A215" s="106" t="n"/>
      <c r="B215" s="109" t="n"/>
      <c r="C215" s="109" t="n"/>
      <c r="D215" s="109" t="n"/>
      <c r="E215" s="109" t="n"/>
      <c r="F215" s="106" t="n"/>
      <c r="G215" s="116">
        <f>IF(F215="","",IFERROR(INDEX(Map!$B$2:$B$38,MATCH(F215,Map!$A$2:$A$38,0)),"UNKNOWN CODE"))</f>
        <v/>
      </c>
      <c r="H215" s="116">
        <f>IF(F215="","",F215&amp;"#"&amp;COUNTIF($F$6:F215,F215))</f>
        <v/>
      </c>
    </row>
    <row r="216" ht="15" customHeight="1" s="90">
      <c r="A216" s="106" t="n"/>
      <c r="B216" s="109" t="n"/>
      <c r="C216" s="109" t="n"/>
      <c r="D216" s="109" t="n"/>
      <c r="E216" s="109" t="n"/>
      <c r="F216" s="106" t="n"/>
      <c r="G216" s="116">
        <f>IF(F216="","",IFERROR(INDEX(Map!$B$2:$B$38,MATCH(F216,Map!$A$2:$A$38,0)),"UNKNOWN CODE"))</f>
        <v/>
      </c>
      <c r="H216" s="116">
        <f>IF(F216="","",F216&amp;"#"&amp;COUNTIF($F$6:F216,F216))</f>
        <v/>
      </c>
    </row>
    <row r="217" ht="15" customHeight="1" s="90">
      <c r="A217" s="106" t="n"/>
      <c r="B217" s="109" t="n"/>
      <c r="C217" s="109" t="n"/>
      <c r="D217" s="109" t="n"/>
      <c r="E217" s="109" t="n"/>
      <c r="F217" s="106" t="n"/>
      <c r="G217" s="116">
        <f>IF(F217="","",IFERROR(INDEX(Map!$B$2:$B$38,MATCH(F217,Map!$A$2:$A$38,0)),"UNKNOWN CODE"))</f>
        <v/>
      </c>
      <c r="H217" s="116">
        <f>IF(F217="","",F217&amp;"#"&amp;COUNTIF($F$6:F217,F217))</f>
        <v/>
      </c>
    </row>
    <row r="218" ht="15" customHeight="1" s="90">
      <c r="A218" s="106" t="n"/>
      <c r="B218" s="109" t="n"/>
      <c r="C218" s="109" t="n"/>
      <c r="D218" s="109" t="n"/>
      <c r="E218" s="109" t="n"/>
      <c r="F218" s="106" t="n"/>
      <c r="G218" s="116">
        <f>IF(F218="","",IFERROR(INDEX(Map!$B$2:$B$38,MATCH(F218,Map!$A$2:$A$38,0)),"UNKNOWN CODE"))</f>
        <v/>
      </c>
      <c r="H218" s="116">
        <f>IF(F218="","",F218&amp;"#"&amp;COUNTIF($F$6:F218,F218))</f>
        <v/>
      </c>
    </row>
    <row r="219" ht="15" customHeight="1" s="90">
      <c r="A219" s="106" t="n"/>
      <c r="B219" s="109" t="n"/>
      <c r="C219" s="109" t="n"/>
      <c r="D219" s="109" t="n"/>
      <c r="E219" s="109" t="n"/>
      <c r="F219" s="106" t="n"/>
      <c r="G219" s="116">
        <f>IF(F219="","",IFERROR(INDEX(Map!$B$2:$B$38,MATCH(F219,Map!$A$2:$A$38,0)),"UNKNOWN CODE"))</f>
        <v/>
      </c>
      <c r="H219" s="116">
        <f>IF(F219="","",F219&amp;"#"&amp;COUNTIF($F$6:F219,F219))</f>
        <v/>
      </c>
    </row>
    <row r="220" ht="15" customHeight="1" s="90">
      <c r="A220" s="106" t="n"/>
      <c r="B220" s="109" t="n"/>
      <c r="C220" s="109" t="n"/>
      <c r="D220" s="109" t="n"/>
      <c r="E220" s="109" t="n"/>
      <c r="F220" s="106" t="n"/>
      <c r="G220" s="116">
        <f>IF(F220="","",IFERROR(INDEX(Map!$B$2:$B$38,MATCH(F220,Map!$A$2:$A$38,0)),"UNKNOWN CODE"))</f>
        <v/>
      </c>
      <c r="H220" s="116">
        <f>IF(F220="","",F220&amp;"#"&amp;COUNTIF($F$6:F220,F220))</f>
        <v/>
      </c>
    </row>
    <row r="221" ht="15" customHeight="1" s="90">
      <c r="A221" s="106" t="n"/>
      <c r="B221" s="109" t="n"/>
      <c r="C221" s="109" t="n"/>
      <c r="D221" s="109" t="n"/>
      <c r="E221" s="109" t="n"/>
      <c r="F221" s="106" t="n"/>
      <c r="G221" s="116">
        <f>IF(F221="","",IFERROR(INDEX(Map!$B$2:$B$38,MATCH(F221,Map!$A$2:$A$38,0)),"UNKNOWN CODE"))</f>
        <v/>
      </c>
      <c r="H221" s="116">
        <f>IF(F221="","",F221&amp;"#"&amp;COUNTIF($F$6:F221,F221))</f>
        <v/>
      </c>
    </row>
    <row r="222" ht="15" customHeight="1" s="90">
      <c r="A222" s="106" t="n"/>
      <c r="B222" s="109" t="n"/>
      <c r="C222" s="109" t="n"/>
      <c r="D222" s="109" t="n"/>
      <c r="E222" s="109" t="n"/>
      <c r="F222" s="106" t="n"/>
      <c r="G222" s="116">
        <f>IF(F222="","",IFERROR(INDEX(Map!$B$2:$B$38,MATCH(F222,Map!$A$2:$A$38,0)),"UNKNOWN CODE"))</f>
        <v/>
      </c>
      <c r="H222" s="116">
        <f>IF(F222="","",F222&amp;"#"&amp;COUNTIF($F$6:F222,F222))</f>
        <v/>
      </c>
    </row>
    <row r="223" ht="15" customHeight="1" s="90">
      <c r="A223" s="106" t="n"/>
      <c r="B223" s="109" t="n"/>
      <c r="C223" s="109" t="n"/>
      <c r="D223" s="109" t="n"/>
      <c r="E223" s="109" t="n"/>
      <c r="F223" s="106" t="n"/>
      <c r="G223" s="116">
        <f>IF(F223="","",IFERROR(INDEX(Map!$B$2:$B$38,MATCH(F223,Map!$A$2:$A$38,0)),"UNKNOWN CODE"))</f>
        <v/>
      </c>
      <c r="H223" s="116">
        <f>IF(F223="","",F223&amp;"#"&amp;COUNTIF($F$6:F223,F223))</f>
        <v/>
      </c>
    </row>
    <row r="224" ht="15" customHeight="1" s="90">
      <c r="A224" s="106" t="n"/>
      <c r="B224" s="109" t="n"/>
      <c r="C224" s="109" t="n"/>
      <c r="D224" s="109" t="n"/>
      <c r="E224" s="109" t="n"/>
      <c r="F224" s="106" t="n"/>
      <c r="G224" s="116">
        <f>IF(F224="","",IFERROR(INDEX(Map!$B$2:$B$38,MATCH(F224,Map!$A$2:$A$38,0)),"UNKNOWN CODE"))</f>
        <v/>
      </c>
      <c r="H224" s="116">
        <f>IF(F224="","",F224&amp;"#"&amp;COUNTIF($F$6:F224,F224))</f>
        <v/>
      </c>
    </row>
    <row r="225" ht="15" customHeight="1" s="90">
      <c r="A225" s="106" t="n"/>
      <c r="B225" s="109" t="n"/>
      <c r="C225" s="109" t="n"/>
      <c r="D225" s="109" t="n"/>
      <c r="E225" s="109" t="n"/>
      <c r="F225" s="106" t="n"/>
      <c r="G225" s="116">
        <f>IF(F225="","",IFERROR(INDEX(Map!$B$2:$B$38,MATCH(F225,Map!$A$2:$A$38,0)),"UNKNOWN CODE"))</f>
        <v/>
      </c>
      <c r="H225" s="116">
        <f>IF(F225="","",F225&amp;"#"&amp;COUNTIF($F$6:F225,F225))</f>
        <v/>
      </c>
    </row>
    <row r="226" ht="15" customHeight="1" s="90">
      <c r="A226" s="117" t="inlineStr">
        <is>
          <t>Totals</t>
        </is>
      </c>
      <c r="B226" s="118">
        <f>SUM(B6:B225)</f>
        <v/>
      </c>
      <c r="C226" s="118">
        <f>SUM(C6:C225)</f>
        <v/>
      </c>
      <c r="D226" s="118">
        <f>SUM(D6:D225)</f>
        <v/>
      </c>
      <c r="E226" s="118">
        <f>SUM(E6:E225)</f>
        <v/>
      </c>
    </row>
    <row r="227" ht="15" customHeight="1" s="90">
      <c r="A227" s="117" t="inlineStr">
        <is>
          <t>Difference (must be zero)</t>
        </is>
      </c>
      <c r="B227" s="119">
        <f>B226-C226</f>
        <v/>
      </c>
      <c r="D227" s="119">
        <f>D226-E226</f>
        <v/>
      </c>
    </row>
    <row r="228" ht="15" customHeight="1" s="90">
      <c r="A228" s="117" t="inlineStr">
        <is>
          <t>Rows with amounts but no map code</t>
        </is>
      </c>
      <c r="B228" s="119">
        <f>SUMPRODUCT(((B6:B225&lt;&gt;0)+(C6:C225&lt;&gt;0)+(D6:D225&lt;&gt;0)+(E6:E225&lt;&gt;0)&gt;0)*(F6:F225=""))</f>
        <v/>
      </c>
    </row>
  </sheetData>
  <dataValidations count="1">
    <dataValidation sqref="F6:F225" showDropDown="0" showInputMessage="0" showErrorMessage="0" allowBlank="1" type="list" errorStyle="stop" operator="between">
      <formula1>Map!$A$2:$A$38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C4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sheetData>
    <row r="1" ht="15" customHeight="1" s="90">
      <c r="A1" s="89" t="inlineStr">
        <is>
          <t>code</t>
        </is>
      </c>
      <c r="B1" s="89" t="inlineStr">
        <is>
          <t>CY netDr</t>
        </is>
      </c>
      <c r="C1" s="89" t="inlineStr">
        <is>
          <t>PY netDr</t>
        </is>
      </c>
    </row>
    <row r="2" ht="15" customHeight="1" s="90">
      <c r="A2" s="89" t="inlineStr">
        <is>
          <t>SC</t>
        </is>
      </c>
      <c r="B2" s="89">
        <f>SUMIF(TB!$F$6:$F$225,A2,TB!$B$6:$B$225)-SUMIF(TB!$F$6:$F$225,A2,TB!$C$6:$C$225)</f>
        <v/>
      </c>
      <c r="C2" s="89">
        <f>SUMIF(TB!$F$6:$F$225,A2,TB!$D$6:$D$225)-SUMIF(TB!$F$6:$F$225,A2,TB!$E$6:$E$225)</f>
        <v/>
      </c>
    </row>
    <row r="3" ht="15" customHeight="1" s="90">
      <c r="A3" s="89" t="inlineStr">
        <is>
          <t>RS</t>
        </is>
      </c>
      <c r="B3" s="89">
        <f>SUMIF(TB!$F$6:$F$225,A3,TB!$B$6:$B$225)-SUMIF(TB!$F$6:$F$225,A3,TB!$C$6:$C$225)</f>
        <v/>
      </c>
      <c r="C3" s="89">
        <f>SUMIF(TB!$F$6:$F$225,A3,TB!$D$6:$D$225)-SUMIF(TB!$F$6:$F$225,A3,TB!$E$6:$E$225)</f>
        <v/>
      </c>
    </row>
    <row r="4" ht="15" customHeight="1" s="90">
      <c r="A4" s="89" t="inlineStr">
        <is>
          <t>LTB</t>
        </is>
      </c>
      <c r="B4" s="89">
        <f>SUMIF(TB!$F$6:$F$225,A4,TB!$B$6:$B$225)-SUMIF(TB!$F$6:$F$225,A4,TB!$C$6:$C$225)</f>
        <v/>
      </c>
      <c r="C4" s="89">
        <f>SUMIF(TB!$F$6:$F$225,A4,TB!$D$6:$D$225)-SUMIF(TB!$F$6:$F$225,A4,TB!$E$6:$E$225)</f>
        <v/>
      </c>
    </row>
    <row r="5" ht="15" customHeight="1" s="90">
      <c r="A5" s="89" t="inlineStr">
        <is>
          <t>DTL</t>
        </is>
      </c>
      <c r="B5" s="89">
        <f>SUMIF(TB!$F$6:$F$225,A5,TB!$B$6:$B$225)-SUMIF(TB!$F$6:$F$225,A5,TB!$C$6:$C$225)</f>
        <v/>
      </c>
      <c r="C5" s="89">
        <f>SUMIF(TB!$F$6:$F$225,A5,TB!$D$6:$D$225)-SUMIF(TB!$F$6:$F$225,A5,TB!$E$6:$E$225)</f>
        <v/>
      </c>
    </row>
    <row r="6" ht="15" customHeight="1" s="90">
      <c r="A6" s="89" t="inlineStr">
        <is>
          <t>OLTL</t>
        </is>
      </c>
      <c r="B6" s="89">
        <f>SUMIF(TB!$F$6:$F$225,A6,TB!$B$6:$B$225)-SUMIF(TB!$F$6:$F$225,A6,TB!$C$6:$C$225)</f>
        <v/>
      </c>
      <c r="C6" s="89">
        <f>SUMIF(TB!$F$6:$F$225,A6,TB!$D$6:$D$225)-SUMIF(TB!$F$6:$F$225,A6,TB!$E$6:$E$225)</f>
        <v/>
      </c>
    </row>
    <row r="7" ht="15" customHeight="1" s="90">
      <c r="A7" s="89" t="inlineStr">
        <is>
          <t>LTPROV</t>
        </is>
      </c>
      <c r="B7" s="89">
        <f>SUMIF(TB!$F$6:$F$225,A7,TB!$B$6:$B$225)-SUMIF(TB!$F$6:$F$225,A7,TB!$C$6:$C$225)</f>
        <v/>
      </c>
      <c r="C7" s="89">
        <f>SUMIF(TB!$F$6:$F$225,A7,TB!$D$6:$D$225)-SUMIF(TB!$F$6:$F$225,A7,TB!$E$6:$E$225)</f>
        <v/>
      </c>
    </row>
    <row r="8" ht="15" customHeight="1" s="90">
      <c r="A8" s="89" t="inlineStr">
        <is>
          <t>STB</t>
        </is>
      </c>
      <c r="B8" s="89">
        <f>SUMIF(TB!$F$6:$F$225,A8,TB!$B$6:$B$225)-SUMIF(TB!$F$6:$F$225,A8,TB!$C$6:$C$225)</f>
        <v/>
      </c>
      <c r="C8" s="89">
        <f>SUMIF(TB!$F$6:$F$225,A8,TB!$D$6:$D$225)-SUMIF(TB!$F$6:$F$225,A8,TB!$E$6:$E$225)</f>
        <v/>
      </c>
    </row>
    <row r="9" ht="15" customHeight="1" s="90">
      <c r="A9" s="89" t="inlineStr">
        <is>
          <t>TPMS</t>
        </is>
      </c>
      <c r="B9" s="89">
        <f>SUMIF(TB!$F$6:$F$225,A9,TB!$B$6:$B$225)-SUMIF(TB!$F$6:$F$225,A9,TB!$C$6:$C$225)</f>
        <v/>
      </c>
      <c r="C9" s="89">
        <f>SUMIF(TB!$F$6:$F$225,A9,TB!$D$6:$D$225)-SUMIF(TB!$F$6:$F$225,A9,TB!$E$6:$E$225)</f>
        <v/>
      </c>
    </row>
    <row r="10" ht="15" customHeight="1" s="90">
      <c r="A10" s="89" t="inlineStr">
        <is>
          <t>TPOTH</t>
        </is>
      </c>
      <c r="B10" s="89">
        <f>SUMIF(TB!$F$6:$F$225,A10,TB!$B$6:$B$225)-SUMIF(TB!$F$6:$F$225,A10,TB!$C$6:$C$225)</f>
        <v/>
      </c>
      <c r="C10" s="89">
        <f>SUMIF(TB!$F$6:$F$225,A10,TB!$D$6:$D$225)-SUMIF(TB!$F$6:$F$225,A10,TB!$E$6:$E$225)</f>
        <v/>
      </c>
    </row>
    <row r="11" ht="15" customHeight="1" s="90">
      <c r="A11" s="89" t="inlineStr">
        <is>
          <t>OCL</t>
        </is>
      </c>
      <c r="B11" s="89">
        <f>SUMIF(TB!$F$6:$F$225,A11,TB!$B$6:$B$225)-SUMIF(TB!$F$6:$F$225,A11,TB!$C$6:$C$225)</f>
        <v/>
      </c>
      <c r="C11" s="89">
        <f>SUMIF(TB!$F$6:$F$225,A11,TB!$D$6:$D$225)-SUMIF(TB!$F$6:$F$225,A11,TB!$E$6:$E$225)</f>
        <v/>
      </c>
    </row>
    <row r="12" ht="15" customHeight="1" s="90">
      <c r="A12" s="89" t="inlineStr">
        <is>
          <t>STPROV</t>
        </is>
      </c>
      <c r="B12" s="89">
        <f>SUMIF(TB!$F$6:$F$225,A12,TB!$B$6:$B$225)-SUMIF(TB!$F$6:$F$225,A12,TB!$C$6:$C$225)</f>
        <v/>
      </c>
      <c r="C12" s="89">
        <f>SUMIF(TB!$F$6:$F$225,A12,TB!$D$6:$D$225)-SUMIF(TB!$F$6:$F$225,A12,TB!$E$6:$E$225)</f>
        <v/>
      </c>
    </row>
    <row r="13" ht="15" customHeight="1" s="90">
      <c r="A13" s="89" t="inlineStr">
        <is>
          <t>PPE</t>
        </is>
      </c>
      <c r="B13" s="89">
        <f>SUMIF(TB!$F$6:$F$225,A13,TB!$B$6:$B$225)-SUMIF(TB!$F$6:$F$225,A13,TB!$C$6:$C$225)</f>
        <v/>
      </c>
      <c r="C13" s="89">
        <f>SUMIF(TB!$F$6:$F$225,A13,TB!$D$6:$D$225)-SUMIF(TB!$F$6:$F$225,A13,TB!$E$6:$E$225)</f>
        <v/>
      </c>
    </row>
    <row r="14" ht="15" customHeight="1" s="90">
      <c r="A14" s="89" t="inlineStr">
        <is>
          <t>INTAN</t>
        </is>
      </c>
      <c r="B14" s="89">
        <f>SUMIF(TB!$F$6:$F$225,A14,TB!$B$6:$B$225)-SUMIF(TB!$F$6:$F$225,A14,TB!$C$6:$C$225)</f>
        <v/>
      </c>
      <c r="C14" s="89">
        <f>SUMIF(TB!$F$6:$F$225,A14,TB!$D$6:$D$225)-SUMIF(TB!$F$6:$F$225,A14,TB!$E$6:$E$225)</f>
        <v/>
      </c>
    </row>
    <row r="15" ht="15" customHeight="1" s="90">
      <c r="A15" s="89" t="inlineStr">
        <is>
          <t>CWIP</t>
        </is>
      </c>
      <c r="B15" s="89">
        <f>SUMIF(TB!$F$6:$F$225,A15,TB!$B$6:$B$225)-SUMIF(TB!$F$6:$F$225,A15,TB!$C$6:$C$225)</f>
        <v/>
      </c>
      <c r="C15" s="89">
        <f>SUMIF(TB!$F$6:$F$225,A15,TB!$D$6:$D$225)-SUMIF(TB!$F$6:$F$225,A15,TB!$E$6:$E$225)</f>
        <v/>
      </c>
    </row>
    <row r="16" ht="15" customHeight="1" s="90">
      <c r="A16" s="89" t="inlineStr">
        <is>
          <t>IUD</t>
        </is>
      </c>
      <c r="B16" s="89">
        <f>SUMIF(TB!$F$6:$F$225,A16,TB!$B$6:$B$225)-SUMIF(TB!$F$6:$F$225,A16,TB!$C$6:$C$225)</f>
        <v/>
      </c>
      <c r="C16" s="89">
        <f>SUMIF(TB!$F$6:$F$225,A16,TB!$D$6:$D$225)-SUMIF(TB!$F$6:$F$225,A16,TB!$E$6:$E$225)</f>
        <v/>
      </c>
    </row>
    <row r="17" ht="15" customHeight="1" s="90">
      <c r="A17" s="89" t="inlineStr">
        <is>
          <t>NCINV</t>
        </is>
      </c>
      <c r="B17" s="89">
        <f>SUMIF(TB!$F$6:$F$225,A17,TB!$B$6:$B$225)-SUMIF(TB!$F$6:$F$225,A17,TB!$C$6:$C$225)</f>
        <v/>
      </c>
      <c r="C17" s="89">
        <f>SUMIF(TB!$F$6:$F$225,A17,TB!$D$6:$D$225)-SUMIF(TB!$F$6:$F$225,A17,TB!$E$6:$E$225)</f>
        <v/>
      </c>
    </row>
    <row r="18" ht="15" customHeight="1" s="90">
      <c r="A18" s="89" t="inlineStr">
        <is>
          <t>DTA</t>
        </is>
      </c>
      <c r="B18" s="89">
        <f>SUMIF(TB!$F$6:$F$225,A18,TB!$B$6:$B$225)-SUMIF(TB!$F$6:$F$225,A18,TB!$C$6:$C$225)</f>
        <v/>
      </c>
      <c r="C18" s="89">
        <f>SUMIF(TB!$F$6:$F$225,A18,TB!$D$6:$D$225)-SUMIF(TB!$F$6:$F$225,A18,TB!$E$6:$E$225)</f>
        <v/>
      </c>
    </row>
    <row r="19" ht="15" customHeight="1" s="90">
      <c r="A19" s="89" t="inlineStr">
        <is>
          <t>LTLA</t>
        </is>
      </c>
      <c r="B19" s="89">
        <f>SUMIF(TB!$F$6:$F$225,A19,TB!$B$6:$B$225)-SUMIF(TB!$F$6:$F$225,A19,TB!$C$6:$C$225)</f>
        <v/>
      </c>
      <c r="C19" s="89">
        <f>SUMIF(TB!$F$6:$F$225,A19,TB!$D$6:$D$225)-SUMIF(TB!$F$6:$F$225,A19,TB!$E$6:$E$225)</f>
        <v/>
      </c>
    </row>
    <row r="20" ht="15" customHeight="1" s="90">
      <c r="A20" s="89" t="inlineStr">
        <is>
          <t>ONCA</t>
        </is>
      </c>
      <c r="B20" s="89">
        <f>SUMIF(TB!$F$6:$F$225,A20,TB!$B$6:$B$225)-SUMIF(TB!$F$6:$F$225,A20,TB!$C$6:$C$225)</f>
        <v/>
      </c>
      <c r="C20" s="89">
        <f>SUMIF(TB!$F$6:$F$225,A20,TB!$D$6:$D$225)-SUMIF(TB!$F$6:$F$225,A20,TB!$E$6:$E$225)</f>
        <v/>
      </c>
    </row>
    <row r="21" ht="15" customHeight="1" s="90">
      <c r="A21" s="89" t="inlineStr">
        <is>
          <t>CINV</t>
        </is>
      </c>
      <c r="B21" s="89">
        <f>SUMIF(TB!$F$6:$F$225,A21,TB!$B$6:$B$225)-SUMIF(TB!$F$6:$F$225,A21,TB!$C$6:$C$225)</f>
        <v/>
      </c>
      <c r="C21" s="89">
        <f>SUMIF(TB!$F$6:$F$225,A21,TB!$D$6:$D$225)-SUMIF(TB!$F$6:$F$225,A21,TB!$E$6:$E$225)</f>
        <v/>
      </c>
    </row>
    <row r="22" ht="15" customHeight="1" s="90">
      <c r="A22" s="89" t="inlineStr">
        <is>
          <t>INVTY</t>
        </is>
      </c>
      <c r="B22" s="89">
        <f>SUMIF(TB!$F$6:$F$225,A22,TB!$B$6:$B$225)-SUMIF(TB!$F$6:$F$225,A22,TB!$C$6:$C$225)</f>
        <v/>
      </c>
      <c r="C22" s="89">
        <f>SUMIF(TB!$F$6:$F$225,A22,TB!$D$6:$D$225)-SUMIF(TB!$F$6:$F$225,A22,TB!$E$6:$E$225)</f>
        <v/>
      </c>
    </row>
    <row r="23" ht="15" customHeight="1" s="90">
      <c r="A23" s="89" t="inlineStr">
        <is>
          <t>TR</t>
        </is>
      </c>
      <c r="B23" s="89">
        <f>SUMIF(TB!$F$6:$F$225,A23,TB!$B$6:$B$225)-SUMIF(TB!$F$6:$F$225,A23,TB!$C$6:$C$225)</f>
        <v/>
      </c>
      <c r="C23" s="89">
        <f>SUMIF(TB!$F$6:$F$225,A23,TB!$D$6:$D$225)-SUMIF(TB!$F$6:$F$225,A23,TB!$E$6:$E$225)</f>
        <v/>
      </c>
    </row>
    <row r="24" ht="15" customHeight="1" s="90">
      <c r="A24" s="89" t="inlineStr">
        <is>
          <t>CASH</t>
        </is>
      </c>
      <c r="B24" s="89">
        <f>SUMIF(TB!$F$6:$F$225,A24,TB!$B$6:$B$225)-SUMIF(TB!$F$6:$F$225,A24,TB!$C$6:$C$225)</f>
        <v/>
      </c>
      <c r="C24" s="89">
        <f>SUMIF(TB!$F$6:$F$225,A24,TB!$D$6:$D$225)-SUMIF(TB!$F$6:$F$225,A24,TB!$E$6:$E$225)</f>
        <v/>
      </c>
    </row>
    <row r="25" ht="15" customHeight="1" s="90">
      <c r="A25" s="89" t="inlineStr">
        <is>
          <t>STLA</t>
        </is>
      </c>
      <c r="B25" s="89">
        <f>SUMIF(TB!$F$6:$F$225,A25,TB!$B$6:$B$225)-SUMIF(TB!$F$6:$F$225,A25,TB!$C$6:$C$225)</f>
        <v/>
      </c>
      <c r="C25" s="89">
        <f>SUMIF(TB!$F$6:$F$225,A25,TB!$D$6:$D$225)-SUMIF(TB!$F$6:$F$225,A25,TB!$E$6:$E$225)</f>
        <v/>
      </c>
    </row>
    <row r="26" ht="15" customHeight="1" s="90">
      <c r="A26" s="89" t="inlineStr">
        <is>
          <t>OCA</t>
        </is>
      </c>
      <c r="B26" s="89">
        <f>SUMIF(TB!$F$6:$F$225,A26,TB!$B$6:$B$225)-SUMIF(TB!$F$6:$F$225,A26,TB!$C$6:$C$225)</f>
        <v/>
      </c>
      <c r="C26" s="89">
        <f>SUMIF(TB!$F$6:$F$225,A26,TB!$D$6:$D$225)-SUMIF(TB!$F$6:$F$225,A26,TB!$E$6:$E$225)</f>
        <v/>
      </c>
    </row>
    <row r="27" ht="15" customHeight="1" s="90">
      <c r="A27" s="89" t="inlineStr">
        <is>
          <t>REV</t>
        </is>
      </c>
      <c r="B27" s="89">
        <f>SUMIF(TB!$F$6:$F$225,A27,TB!$B$6:$B$225)-SUMIF(TB!$F$6:$F$225,A27,TB!$C$6:$C$225)</f>
        <v/>
      </c>
      <c r="C27" s="89">
        <f>SUMIF(TB!$F$6:$F$225,A27,TB!$D$6:$D$225)-SUMIF(TB!$F$6:$F$225,A27,TB!$E$6:$E$225)</f>
        <v/>
      </c>
    </row>
    <row r="28" ht="15" customHeight="1" s="90">
      <c r="A28" s="89" t="inlineStr">
        <is>
          <t>OTHINC</t>
        </is>
      </c>
      <c r="B28" s="89">
        <f>SUMIF(TB!$F$6:$F$225,A28,TB!$B$6:$B$225)-SUMIF(TB!$F$6:$F$225,A28,TB!$C$6:$C$225)</f>
        <v/>
      </c>
      <c r="C28" s="89">
        <f>SUMIF(TB!$F$6:$F$225,A28,TB!$D$6:$D$225)-SUMIF(TB!$F$6:$F$225,A28,TB!$E$6:$E$225)</f>
        <v/>
      </c>
    </row>
    <row r="29" ht="15" customHeight="1" s="90">
      <c r="A29" s="89" t="inlineStr">
        <is>
          <t>MATCONS</t>
        </is>
      </c>
      <c r="B29" s="89">
        <f>SUMIF(TB!$F$6:$F$225,A29,TB!$B$6:$B$225)-SUMIF(TB!$F$6:$F$225,A29,TB!$C$6:$C$225)</f>
        <v/>
      </c>
      <c r="C29" s="89">
        <f>SUMIF(TB!$F$6:$F$225,A29,TB!$D$6:$D$225)-SUMIF(TB!$F$6:$F$225,A29,TB!$E$6:$E$225)</f>
        <v/>
      </c>
    </row>
    <row r="30" ht="15" customHeight="1" s="90">
      <c r="A30" s="89" t="inlineStr">
        <is>
          <t>PURST</t>
        </is>
      </c>
      <c r="B30" s="89">
        <f>SUMIF(TB!$F$6:$F$225,A30,TB!$B$6:$B$225)-SUMIF(TB!$F$6:$F$225,A30,TB!$C$6:$C$225)</f>
        <v/>
      </c>
      <c r="C30" s="89">
        <f>SUMIF(TB!$F$6:$F$225,A30,TB!$D$6:$D$225)-SUMIF(TB!$F$6:$F$225,A30,TB!$E$6:$E$225)</f>
        <v/>
      </c>
    </row>
    <row r="31" ht="15" customHeight="1" s="90">
      <c r="A31" s="89" t="inlineStr">
        <is>
          <t>CHGINV</t>
        </is>
      </c>
      <c r="B31" s="89">
        <f>SUMIF(TB!$F$6:$F$225,A31,TB!$B$6:$B$225)-SUMIF(TB!$F$6:$F$225,A31,TB!$C$6:$C$225)</f>
        <v/>
      </c>
      <c r="C31" s="89">
        <f>SUMIF(TB!$F$6:$F$225,A31,TB!$D$6:$D$225)-SUMIF(TB!$F$6:$F$225,A31,TB!$E$6:$E$225)</f>
        <v/>
      </c>
    </row>
    <row r="32" ht="15" customHeight="1" s="90">
      <c r="A32" s="89" t="inlineStr">
        <is>
          <t>EMPB</t>
        </is>
      </c>
      <c r="B32" s="89">
        <f>SUMIF(TB!$F$6:$F$225,A32,TB!$B$6:$B$225)-SUMIF(TB!$F$6:$F$225,A32,TB!$C$6:$C$225)</f>
        <v/>
      </c>
      <c r="C32" s="89">
        <f>SUMIF(TB!$F$6:$F$225,A32,TB!$D$6:$D$225)-SUMIF(TB!$F$6:$F$225,A32,TB!$E$6:$E$225)</f>
        <v/>
      </c>
    </row>
    <row r="33" ht="15" customHeight="1" s="90">
      <c r="A33" s="89" t="inlineStr">
        <is>
          <t>FINC</t>
        </is>
      </c>
      <c r="B33" s="89">
        <f>SUMIF(TB!$F$6:$F$225,A33,TB!$B$6:$B$225)-SUMIF(TB!$F$6:$F$225,A33,TB!$C$6:$C$225)</f>
        <v/>
      </c>
      <c r="C33" s="89">
        <f>SUMIF(TB!$F$6:$F$225,A33,TB!$D$6:$D$225)-SUMIF(TB!$F$6:$F$225,A33,TB!$E$6:$E$225)</f>
        <v/>
      </c>
    </row>
    <row r="34" ht="15" customHeight="1" s="90">
      <c r="A34" s="89" t="inlineStr">
        <is>
          <t>DEPAM</t>
        </is>
      </c>
      <c r="B34" s="89">
        <f>SUMIF(TB!$F$6:$F$225,A34,TB!$B$6:$B$225)-SUMIF(TB!$F$6:$F$225,A34,TB!$C$6:$C$225)</f>
        <v/>
      </c>
      <c r="C34" s="89">
        <f>SUMIF(TB!$F$6:$F$225,A34,TB!$D$6:$D$225)-SUMIF(TB!$F$6:$F$225,A34,TB!$E$6:$E$225)</f>
        <v/>
      </c>
    </row>
    <row r="35" ht="15" customHeight="1" s="90">
      <c r="A35" s="89" t="inlineStr">
        <is>
          <t>OTHEXP</t>
        </is>
      </c>
      <c r="B35" s="89">
        <f>SUMIF(TB!$F$6:$F$225,A35,TB!$B$6:$B$225)-SUMIF(TB!$F$6:$F$225,A35,TB!$C$6:$C$225)</f>
        <v/>
      </c>
      <c r="C35" s="89">
        <f>SUMIF(TB!$F$6:$F$225,A35,TB!$D$6:$D$225)-SUMIF(TB!$F$6:$F$225,A35,TB!$E$6:$E$225)</f>
        <v/>
      </c>
    </row>
    <row r="36" ht="15" customHeight="1" s="90">
      <c r="A36" s="89" t="inlineStr">
        <is>
          <t>EXCPI</t>
        </is>
      </c>
      <c r="B36" s="89">
        <f>SUMIF(TB!$F$6:$F$225,A36,TB!$B$6:$B$225)-SUMIF(TB!$F$6:$F$225,A36,TB!$C$6:$C$225)</f>
        <v/>
      </c>
      <c r="C36" s="89">
        <f>SUMIF(TB!$F$6:$F$225,A36,TB!$D$6:$D$225)-SUMIF(TB!$F$6:$F$225,A36,TB!$E$6:$E$225)</f>
        <v/>
      </c>
    </row>
    <row r="37" ht="15" customHeight="1" s="90">
      <c r="A37" s="89" t="inlineStr">
        <is>
          <t>TAXCUR</t>
        </is>
      </c>
      <c r="B37" s="89">
        <f>SUMIF(TB!$F$6:$F$225,A37,TB!$B$6:$B$225)-SUMIF(TB!$F$6:$F$225,A37,TB!$C$6:$C$225)</f>
        <v/>
      </c>
      <c r="C37" s="89">
        <f>SUMIF(TB!$F$6:$F$225,A37,TB!$D$6:$D$225)-SUMIF(TB!$F$6:$F$225,A37,TB!$E$6:$E$225)</f>
        <v/>
      </c>
    </row>
    <row r="38" ht="15" customHeight="1" s="90">
      <c r="A38" s="89" t="inlineStr">
        <is>
          <t>TAXDEF</t>
        </is>
      </c>
      <c r="B38" s="89">
        <f>SUMIF(TB!$F$6:$F$225,A38,TB!$B$6:$B$225)-SUMIF(TB!$F$6:$F$225,A38,TB!$C$6:$C$225)</f>
        <v/>
      </c>
      <c r="C38" s="89">
        <f>SUMIF(TB!$F$6:$F$225,A38,TB!$D$6:$D$225)-SUMIF(TB!$F$6:$F$225,A38,TB!$E$6:$E$225)</f>
        <v/>
      </c>
    </row>
    <row r="45" ht="15" customHeight="1" s="90">
      <c r="A45" s="89" t="inlineStr">
        <is>
          <t>PAT_CY</t>
        </is>
      </c>
      <c r="B45" s="89">
        <f>-(Calc!$B$27+Calc!$B$28)-(Calc!$B$29+Calc!$B$30+Calc!$B$31+Calc!$B$32+Calc!$B$33+Calc!$B$34+Calc!$B$35+Calc!$B$36+Calc!$B$37+Calc!$B$38)</f>
        <v/>
      </c>
    </row>
    <row r="46" ht="15" customHeight="1" s="90">
      <c r="A46" s="89" t="inlineStr">
        <is>
          <t>PAT_PY</t>
        </is>
      </c>
      <c r="C46" s="89">
        <f>-(Calc!$C$27+Calc!$C$28)-(Calc!$C$29+Calc!$C$30+Calc!$C$31+Calc!$C$32+Calc!$C$33+Calc!$C$34+Calc!$C$35+Calc!$C$36+Calc!$C$37+Calc!$C$38)</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1E3A8A"/>
    <outlinePr summaryBelow="1" summaryRight="1"/>
    <pageSetUpPr fitToPage="0"/>
  </sheetPr>
  <dimension ref="A2:L2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89" min="1" max="1"/>
    <col width="12" customWidth="1" style="89" min="2" max="2"/>
    <col width="26" customWidth="1" style="89" min="3" max="3"/>
    <col width="10" customWidth="1" style="89" min="4" max="4"/>
    <col width="13" customWidth="1" style="89" min="5" max="5"/>
    <col width="15" customWidth="1" style="89" min="6" max="7"/>
    <col width="14" customWidth="1" style="89" min="8" max="8"/>
    <col width="15" customWidth="1" style="89" min="9" max="11"/>
    <col width="16" customWidth="1" style="89" min="12" max="12"/>
  </cols>
  <sheetData>
    <row r="2" ht="17.25" customHeight="1" s="90">
      <c r="A2" s="103" t="inlineStr">
        <is>
          <t>Long-term borrowings - loan grid and current-maturities split</t>
        </is>
      </c>
    </row>
    <row r="3" ht="15" customHeight="1" s="90">
      <c r="A3" s="108" t="inlineStr">
        <is>
          <t>Enter every long-term loan at its CLOSING principal on the balance sheet date. Map the SAME balances to code LTB in the TB. The workbook computes the principal due within 12 months (current maturities) and moves it under Short-term borrowings on the face, per the 2021 amendment.</t>
        </is>
      </c>
    </row>
    <row r="5" ht="39" customHeight="1" s="90">
      <c r="A5" s="113" t="inlineStr">
        <is>
          <t>Lender / loan</t>
        </is>
      </c>
      <c r="B5" s="113" t="inlineStr">
        <is>
          <t>Secured?</t>
        </is>
      </c>
      <c r="C5" s="113" t="inlineStr">
        <is>
          <t>Nature of security</t>
        </is>
      </c>
      <c r="D5" s="113" t="inlineStr">
        <is>
          <t>Rate % p.a.</t>
        </is>
      </c>
      <c r="E5" s="113" t="inlineStr">
        <is>
          <t>Repayment type</t>
        </is>
      </c>
      <c r="F5" s="113" t="inlineStr">
        <is>
          <t>EMI / monthly principal (Rs)</t>
        </is>
      </c>
      <c r="G5" s="113" t="inlineStr">
        <is>
          <t>Maturity date (bullet)</t>
        </is>
      </c>
      <c r="H5" s="113" t="inlineStr">
        <is>
          <t>Months left (info)</t>
        </is>
      </c>
      <c r="I5" s="113" t="inlineStr">
        <is>
          <t>Outstanding at BS date (Rs)</t>
        </is>
      </c>
      <c r="J5" s="113" t="inlineStr">
        <is>
          <t>Current maturities (auto, Rs)</t>
        </is>
      </c>
      <c r="K5" s="113" t="inlineStr">
        <is>
          <t>Non-current (auto, Rs)</t>
        </is>
      </c>
      <c r="L5" s="113" t="inlineStr">
        <is>
          <t>Interest accrued but not due (Rs)</t>
        </is>
      </c>
    </row>
    <row r="6" ht="15" customHeight="1" s="90">
      <c r="A6" s="106" t="n"/>
      <c r="B6" s="106" t="inlineStr">
        <is>
          <t>No</t>
        </is>
      </c>
      <c r="C6" s="106" t="n"/>
      <c r="D6" s="120" t="n"/>
      <c r="E6" s="106" t="inlineStr">
        <is>
          <t>EMI</t>
        </is>
      </c>
      <c r="F6" s="109" t="n"/>
      <c r="G6" s="107" t="n"/>
      <c r="H6" s="110">
        <f>IF(I6=0,"",IF(E6="Bullet",IF(G6="","?",ROUND((G6-BSD)/30.4,0)),IF(F6=0,"?",IF(E6="EMI",IFERROR(ROUND(LN(F6/(F6-I6*D6/1200))/LN(1+D6/1200),0),"?"),ROUND(I6/F6,0)))))</f>
        <v/>
      </c>
      <c r="I6" s="109" t="n"/>
      <c r="J6" s="110">
        <f>IF(I6=0,0,IF(E6="Bullet",IF(G6="",0,IF(G6&lt;=BSD+366,I6,0)),IF(E6="Equal principal",MIN(I6,F6*12),IF(D6=0,MIN(I6,F6*12),MIN(I6,MAX(0,I6-MAX(0,I6*POWER(1+D6/1200,12)-F6*((POWER(1+D6/1200,12)-1)/(D6/1200)))))))))</f>
        <v/>
      </c>
      <c r="K6" s="110">
        <f>I6-J6</f>
        <v/>
      </c>
      <c r="L6" s="109" t="n">
        <v>0</v>
      </c>
    </row>
    <row r="7" ht="15" customHeight="1" s="90">
      <c r="A7" s="106" t="n"/>
      <c r="B7" s="106" t="inlineStr">
        <is>
          <t>No</t>
        </is>
      </c>
      <c r="C7" s="106" t="n"/>
      <c r="D7" s="120" t="n"/>
      <c r="E7" s="106" t="inlineStr">
        <is>
          <t>EMI</t>
        </is>
      </c>
      <c r="F7" s="109" t="n"/>
      <c r="G7" s="107" t="n"/>
      <c r="H7" s="110">
        <f>IF(I7=0,"",IF(E7="Bullet",IF(G7="","?",ROUND((G7-BSD)/30.4,0)),IF(F7=0,"?",IF(E7="EMI",IFERROR(ROUND(LN(F7/(F7-I7*D7/1200))/LN(1+D7/1200),0),"?"),ROUND(I7/F7,0)))))</f>
        <v/>
      </c>
      <c r="I7" s="109" t="n"/>
      <c r="J7" s="110">
        <f>IF(I7=0,0,IF(E7="Bullet",IF(G7="",0,IF(G7&lt;=BSD+366,I7,0)),IF(E7="Equal principal",MIN(I7,F7*12),IF(D7=0,MIN(I7,F7*12),MIN(I7,MAX(0,I7-MAX(0,I7*POWER(1+D7/1200,12)-F7*((POWER(1+D7/1200,12)-1)/(D7/1200)))))))))</f>
        <v/>
      </c>
      <c r="K7" s="110">
        <f>I7-J7</f>
        <v/>
      </c>
      <c r="L7" s="109" t="n">
        <v>0</v>
      </c>
    </row>
    <row r="8" ht="15" customHeight="1" s="90">
      <c r="A8" s="106" t="n"/>
      <c r="B8" s="106" t="inlineStr">
        <is>
          <t>No</t>
        </is>
      </c>
      <c r="C8" s="106" t="n"/>
      <c r="D8" s="120" t="n"/>
      <c r="E8" s="106" t="inlineStr">
        <is>
          <t>EMI</t>
        </is>
      </c>
      <c r="F8" s="109" t="n"/>
      <c r="G8" s="107" t="n"/>
      <c r="H8" s="110">
        <f>IF(I8=0,"",IF(E8="Bullet",IF(G8="","?",ROUND((G8-BSD)/30.4,0)),IF(F8=0,"?",IF(E8="EMI",IFERROR(ROUND(LN(F8/(F8-I8*D8/1200))/LN(1+D8/1200),0),"?"),ROUND(I8/F8,0)))))</f>
        <v/>
      </c>
      <c r="I8" s="109" t="n"/>
      <c r="J8" s="110">
        <f>IF(I8=0,0,IF(E8="Bullet",IF(G8="",0,IF(G8&lt;=BSD+366,I8,0)),IF(E8="Equal principal",MIN(I8,F8*12),IF(D8=0,MIN(I8,F8*12),MIN(I8,MAX(0,I8-MAX(0,I8*POWER(1+D8/1200,12)-F8*((POWER(1+D8/1200,12)-1)/(D8/1200)))))))))</f>
        <v/>
      </c>
      <c r="K8" s="110">
        <f>I8-J8</f>
        <v/>
      </c>
      <c r="L8" s="109" t="n">
        <v>0</v>
      </c>
    </row>
    <row r="9" ht="15" customHeight="1" s="90">
      <c r="A9" s="106" t="n"/>
      <c r="B9" s="106" t="inlineStr">
        <is>
          <t>No</t>
        </is>
      </c>
      <c r="C9" s="106" t="n"/>
      <c r="D9" s="120" t="n"/>
      <c r="E9" s="106" t="inlineStr">
        <is>
          <t>EMI</t>
        </is>
      </c>
      <c r="F9" s="109" t="n"/>
      <c r="G9" s="107" t="n"/>
      <c r="H9" s="110">
        <f>IF(I9=0,"",IF(E9="Bullet",IF(G9="","?",ROUND((G9-BSD)/30.4,0)),IF(F9=0,"?",IF(E9="EMI",IFERROR(ROUND(LN(F9/(F9-I9*D9/1200))/LN(1+D9/1200),0),"?"),ROUND(I9/F9,0)))))</f>
        <v/>
      </c>
      <c r="I9" s="109" t="n"/>
      <c r="J9" s="110">
        <f>IF(I9=0,0,IF(E9="Bullet",IF(G9="",0,IF(G9&lt;=BSD+366,I9,0)),IF(E9="Equal principal",MIN(I9,F9*12),IF(D9=0,MIN(I9,F9*12),MIN(I9,MAX(0,I9-MAX(0,I9*POWER(1+D9/1200,12)-F9*((POWER(1+D9/1200,12)-1)/(D9/1200)))))))))</f>
        <v/>
      </c>
      <c r="K9" s="110">
        <f>I9-J9</f>
        <v/>
      </c>
      <c r="L9" s="109" t="n">
        <v>0</v>
      </c>
    </row>
    <row r="10" ht="15" customHeight="1" s="90">
      <c r="A10" s="106" t="n"/>
      <c r="B10" s="106" t="inlineStr">
        <is>
          <t>No</t>
        </is>
      </c>
      <c r="C10" s="106" t="n"/>
      <c r="D10" s="120" t="n"/>
      <c r="E10" s="106" t="inlineStr">
        <is>
          <t>EMI</t>
        </is>
      </c>
      <c r="F10" s="109" t="n"/>
      <c r="G10" s="107" t="n"/>
      <c r="H10" s="110">
        <f>IF(I10=0,"",IF(E10="Bullet",IF(G10="","?",ROUND((G10-BSD)/30.4,0)),IF(F10=0,"?",IF(E10="EMI",IFERROR(ROUND(LN(F10/(F10-I10*D10/1200))/LN(1+D10/1200),0),"?"),ROUND(I10/F10,0)))))</f>
        <v/>
      </c>
      <c r="I10" s="109" t="n"/>
      <c r="J10" s="110">
        <f>IF(I10=0,0,IF(E10="Bullet",IF(G10="",0,IF(G10&lt;=BSD+366,I10,0)),IF(E10="Equal principal",MIN(I10,F10*12),IF(D10=0,MIN(I10,F10*12),MIN(I10,MAX(0,I10-MAX(0,I10*POWER(1+D10/1200,12)-F10*((POWER(1+D10/1200,12)-1)/(D10/1200)))))))))</f>
        <v/>
      </c>
      <c r="K10" s="110">
        <f>I10-J10</f>
        <v/>
      </c>
      <c r="L10" s="109" t="n">
        <v>0</v>
      </c>
    </row>
    <row r="11" ht="15" customHeight="1" s="90">
      <c r="A11" s="106" t="n"/>
      <c r="B11" s="106" t="inlineStr">
        <is>
          <t>No</t>
        </is>
      </c>
      <c r="C11" s="106" t="n"/>
      <c r="D11" s="120" t="n"/>
      <c r="E11" s="106" t="inlineStr">
        <is>
          <t>EMI</t>
        </is>
      </c>
      <c r="F11" s="109" t="n"/>
      <c r="G11" s="107" t="n"/>
      <c r="H11" s="110">
        <f>IF(I11=0,"",IF(E11="Bullet",IF(G11="","?",ROUND((G11-BSD)/30.4,0)),IF(F11=0,"?",IF(E11="EMI",IFERROR(ROUND(LN(F11/(F11-I11*D11/1200))/LN(1+D11/1200),0),"?"),ROUND(I11/F11,0)))))</f>
        <v/>
      </c>
      <c r="I11" s="109" t="n"/>
      <c r="J11" s="110">
        <f>IF(I11=0,0,IF(E11="Bullet",IF(G11="",0,IF(G11&lt;=BSD+366,I11,0)),IF(E11="Equal principal",MIN(I11,F11*12),IF(D11=0,MIN(I11,F11*12),MIN(I11,MAX(0,I11-MAX(0,I11*POWER(1+D11/1200,12)-F11*((POWER(1+D11/1200,12)-1)/(D11/1200)))))))))</f>
        <v/>
      </c>
      <c r="K11" s="110">
        <f>I11-J11</f>
        <v/>
      </c>
      <c r="L11" s="109" t="n">
        <v>0</v>
      </c>
    </row>
    <row r="12" ht="15" customHeight="1" s="90">
      <c r="A12" s="106" t="n"/>
      <c r="B12" s="106" t="inlineStr">
        <is>
          <t>No</t>
        </is>
      </c>
      <c r="C12" s="106" t="n"/>
      <c r="D12" s="120" t="n"/>
      <c r="E12" s="106" t="inlineStr">
        <is>
          <t>EMI</t>
        </is>
      </c>
      <c r="F12" s="109" t="n"/>
      <c r="G12" s="107" t="n"/>
      <c r="H12" s="110">
        <f>IF(I12=0,"",IF(E12="Bullet",IF(G12="","?",ROUND((G12-BSD)/30.4,0)),IF(F12=0,"?",IF(E12="EMI",IFERROR(ROUND(LN(F12/(F12-I12*D12/1200))/LN(1+D12/1200),0),"?"),ROUND(I12/F12,0)))))</f>
        <v/>
      </c>
      <c r="I12" s="109" t="n"/>
      <c r="J12" s="110">
        <f>IF(I12=0,0,IF(E12="Bullet",IF(G12="",0,IF(G12&lt;=BSD+366,I12,0)),IF(E12="Equal principal",MIN(I12,F12*12),IF(D12=0,MIN(I12,F12*12),MIN(I12,MAX(0,I12-MAX(0,I12*POWER(1+D12/1200,12)-F12*((POWER(1+D12/1200,12)-1)/(D12/1200)))))))))</f>
        <v/>
      </c>
      <c r="K12" s="110">
        <f>I12-J12</f>
        <v/>
      </c>
      <c r="L12" s="109" t="n">
        <v>0</v>
      </c>
    </row>
    <row r="13" ht="15" customHeight="1" s="90">
      <c r="A13" s="106" t="n"/>
      <c r="B13" s="106" t="inlineStr">
        <is>
          <t>No</t>
        </is>
      </c>
      <c r="C13" s="106" t="n"/>
      <c r="D13" s="120" t="n"/>
      <c r="E13" s="106" t="inlineStr">
        <is>
          <t>EMI</t>
        </is>
      </c>
      <c r="F13" s="109" t="n"/>
      <c r="G13" s="107" t="n"/>
      <c r="H13" s="110">
        <f>IF(I13=0,"",IF(E13="Bullet",IF(G13="","?",ROUND((G13-BSD)/30.4,0)),IF(F13=0,"?",IF(E13="EMI",IFERROR(ROUND(LN(F13/(F13-I13*D13/1200))/LN(1+D13/1200),0),"?"),ROUND(I13/F13,0)))))</f>
        <v/>
      </c>
      <c r="I13" s="109" t="n"/>
      <c r="J13" s="110">
        <f>IF(I13=0,0,IF(E13="Bullet",IF(G13="",0,IF(G13&lt;=BSD+366,I13,0)),IF(E13="Equal principal",MIN(I13,F13*12),IF(D13=0,MIN(I13,F13*12),MIN(I13,MAX(0,I13-MAX(0,I13*POWER(1+D13/1200,12)-F13*((POWER(1+D13/1200,12)-1)/(D13/1200)))))))))</f>
        <v/>
      </c>
      <c r="K13" s="110">
        <f>I13-J13</f>
        <v/>
      </c>
      <c r="L13" s="109" t="n">
        <v>0</v>
      </c>
    </row>
    <row r="14" ht="15" customHeight="1" s="90">
      <c r="A14" s="106" t="n"/>
      <c r="B14" s="106" t="inlineStr">
        <is>
          <t>No</t>
        </is>
      </c>
      <c r="C14" s="106" t="n"/>
      <c r="D14" s="120" t="n"/>
      <c r="E14" s="106" t="inlineStr">
        <is>
          <t>EMI</t>
        </is>
      </c>
      <c r="F14" s="109" t="n"/>
      <c r="G14" s="107" t="n"/>
      <c r="H14" s="110">
        <f>IF(I14=0,"",IF(E14="Bullet",IF(G14="","?",ROUND((G14-BSD)/30.4,0)),IF(F14=0,"?",IF(E14="EMI",IFERROR(ROUND(LN(F14/(F14-I14*D14/1200))/LN(1+D14/1200),0),"?"),ROUND(I14/F14,0)))))</f>
        <v/>
      </c>
      <c r="I14" s="109" t="n"/>
      <c r="J14" s="110">
        <f>IF(I14=0,0,IF(E14="Bullet",IF(G14="",0,IF(G14&lt;=BSD+366,I14,0)),IF(E14="Equal principal",MIN(I14,F14*12),IF(D14=0,MIN(I14,F14*12),MIN(I14,MAX(0,I14-MAX(0,I14*POWER(1+D14/1200,12)-F14*((POWER(1+D14/1200,12)-1)/(D14/1200)))))))))</f>
        <v/>
      </c>
      <c r="K14" s="110">
        <f>I14-J14</f>
        <v/>
      </c>
      <c r="L14" s="109" t="n">
        <v>0</v>
      </c>
    </row>
    <row r="15" ht="15" customHeight="1" s="90">
      <c r="A15" s="106" t="n"/>
      <c r="B15" s="106" t="inlineStr">
        <is>
          <t>No</t>
        </is>
      </c>
      <c r="C15" s="106" t="n"/>
      <c r="D15" s="120" t="n"/>
      <c r="E15" s="106" t="inlineStr">
        <is>
          <t>EMI</t>
        </is>
      </c>
      <c r="F15" s="109" t="n"/>
      <c r="G15" s="107" t="n"/>
      <c r="H15" s="110">
        <f>IF(I15=0,"",IF(E15="Bullet",IF(G15="","?",ROUND((G15-BSD)/30.4,0)),IF(F15=0,"?",IF(E15="EMI",IFERROR(ROUND(LN(F15/(F15-I15*D15/1200))/LN(1+D15/1200),0),"?"),ROUND(I15/F15,0)))))</f>
        <v/>
      </c>
      <c r="I15" s="109" t="n"/>
      <c r="J15" s="110">
        <f>IF(I15=0,0,IF(E15="Bullet",IF(G15="",0,IF(G15&lt;=BSD+366,I15,0)),IF(E15="Equal principal",MIN(I15,F15*12),IF(D15=0,MIN(I15,F15*12),MIN(I15,MAX(0,I15-MAX(0,I15*POWER(1+D15/1200,12)-F15*((POWER(1+D15/1200,12)-1)/(D15/1200)))))))))</f>
        <v/>
      </c>
      <c r="K15" s="110">
        <f>I15-J15</f>
        <v/>
      </c>
      <c r="L15" s="109" t="n">
        <v>0</v>
      </c>
    </row>
    <row r="16" ht="15" customHeight="1" s="90">
      <c r="A16" s="106" t="n"/>
      <c r="B16" s="106" t="inlineStr">
        <is>
          <t>No</t>
        </is>
      </c>
      <c r="C16" s="106" t="n"/>
      <c r="D16" s="120" t="n"/>
      <c r="E16" s="106" t="inlineStr">
        <is>
          <t>EMI</t>
        </is>
      </c>
      <c r="F16" s="109" t="n"/>
      <c r="G16" s="107" t="n"/>
      <c r="H16" s="110">
        <f>IF(I16=0,"",IF(E16="Bullet",IF(G16="","?",ROUND((G16-BSD)/30.4,0)),IF(F16=0,"?",IF(E16="EMI",IFERROR(ROUND(LN(F16/(F16-I16*D16/1200))/LN(1+D16/1200),0),"?"),ROUND(I16/F16,0)))))</f>
        <v/>
      </c>
      <c r="I16" s="109" t="n"/>
      <c r="J16" s="110">
        <f>IF(I16=0,0,IF(E16="Bullet",IF(G16="",0,IF(G16&lt;=BSD+366,I16,0)),IF(E16="Equal principal",MIN(I16,F16*12),IF(D16=0,MIN(I16,F16*12),MIN(I16,MAX(0,I16-MAX(0,I16*POWER(1+D16/1200,12)-F16*((POWER(1+D16/1200,12)-1)/(D16/1200)))))))))</f>
        <v/>
      </c>
      <c r="K16" s="110">
        <f>I16-J16</f>
        <v/>
      </c>
      <c r="L16" s="109" t="n">
        <v>0</v>
      </c>
    </row>
    <row r="17" ht="15" customHeight="1" s="90">
      <c r="A17" s="106" t="n"/>
      <c r="B17" s="106" t="inlineStr">
        <is>
          <t>No</t>
        </is>
      </c>
      <c r="C17" s="106" t="n"/>
      <c r="D17" s="120" t="n"/>
      <c r="E17" s="106" t="inlineStr">
        <is>
          <t>EMI</t>
        </is>
      </c>
      <c r="F17" s="109" t="n"/>
      <c r="G17" s="107" t="n"/>
      <c r="H17" s="110">
        <f>IF(I17=0,"",IF(E17="Bullet",IF(G17="","?",ROUND((G17-BSD)/30.4,0)),IF(F17=0,"?",IF(E17="EMI",IFERROR(ROUND(LN(F17/(F17-I17*D17/1200))/LN(1+D17/1200),0),"?"),ROUND(I17/F17,0)))))</f>
        <v/>
      </c>
      <c r="I17" s="109" t="n"/>
      <c r="J17" s="110">
        <f>IF(I17=0,0,IF(E17="Bullet",IF(G17="",0,IF(G17&lt;=BSD+366,I17,0)),IF(E17="Equal principal",MIN(I17,F17*12),IF(D17=0,MIN(I17,F17*12),MIN(I17,MAX(0,I17-MAX(0,I17*POWER(1+D17/1200,12)-F17*((POWER(1+D17/1200,12)-1)/(D17/1200)))))))))</f>
        <v/>
      </c>
      <c r="K17" s="110">
        <f>I17-J17</f>
        <v/>
      </c>
      <c r="L17" s="109" t="n">
        <v>0</v>
      </c>
    </row>
    <row r="18" ht="15" customHeight="1" s="90">
      <c r="A18" s="117" t="inlineStr">
        <is>
          <t>Totals</t>
        </is>
      </c>
      <c r="I18" s="118">
        <f>SUM(I6:I17)</f>
        <v/>
      </c>
      <c r="J18" s="118">
        <f>SUM(J6:J17)</f>
        <v/>
      </c>
      <c r="K18" s="118">
        <f>SUM(K6:K17)</f>
        <v/>
      </c>
      <c r="L18" s="118">
        <f>SUM(L6:L17)</f>
        <v/>
      </c>
    </row>
    <row r="20" ht="15" customHeight="1" s="90">
      <c r="A20" s="117" t="inlineStr">
        <is>
          <t>Check: grid outstanding vs TB code LTB</t>
        </is>
      </c>
      <c r="I20" s="119">
        <f>I18-(-Calc!$B$4)</f>
        <v/>
      </c>
      <c r="J20" s="108" t="inlineStr">
        <is>
          <t>Must be zero</t>
        </is>
      </c>
    </row>
    <row r="22" ht="15" customHeight="1" s="90">
      <c r="A22" s="117" t="inlineStr">
        <is>
          <t>Carry to Balance Sheet:</t>
        </is>
      </c>
    </row>
    <row r="23" ht="15" customHeight="1" s="90">
      <c r="A23" s="105" t="inlineStr">
        <is>
          <t>Long-term borrowings (non-current)</t>
        </is>
      </c>
      <c r="I23" s="110">
        <f>K18</f>
        <v/>
      </c>
    </row>
    <row r="24" ht="15" customHeight="1" s="90">
      <c r="A24" s="105" t="inlineStr">
        <is>
          <t>Current maturities of long-term borrowings (under Short-term borrowings)</t>
        </is>
      </c>
      <c r="I24" s="110">
        <f>J18</f>
        <v/>
      </c>
    </row>
    <row r="25" ht="15" customHeight="1" s="90">
      <c r="A25" s="105" t="inlineStr">
        <is>
          <t>Interest accrued but not due (under Other current liabilities - ensure it is in your OCL balance)</t>
        </is>
      </c>
      <c r="I25" s="110">
        <f>L18</f>
        <v/>
      </c>
    </row>
    <row r="27" ht="15" customHeight="1" s="90">
      <c r="A27" s="105" t="inlineStr">
        <is>
          <t>Previous year current maturities (enter from last year FS, Rs)</t>
        </is>
      </c>
      <c r="I27" s="109" t="n">
        <v>0</v>
      </c>
    </row>
  </sheetData>
  <dataValidations count="2">
    <dataValidation sqref="B6:B17" showDropDown="0" showInputMessage="0" showErrorMessage="0" allowBlank="1" type="list" errorStyle="stop" operator="between">
      <formula1>"Yes,No"</formula1>
      <formula2>0</formula2>
    </dataValidation>
    <dataValidation sqref="E6:E17" showDropDown="0" showInputMessage="0" showErrorMessage="0" allowBlank="1" type="list" errorStyle="stop" operator="between">
      <formula1>"EMI,Equal principal,Bullet"</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1E3A8A"/>
    <outlinePr summaryBelow="1" summaryRight="1"/>
    <pageSetUpPr fitToPage="0"/>
  </sheetPr>
  <dimension ref="A1:X4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89" min="1" max="1"/>
    <col width="26" customWidth="1" style="89" min="2" max="2"/>
    <col width="20" customWidth="1" style="89" min="3" max="3"/>
    <col width="22" customWidth="1" style="89" min="4" max="4"/>
    <col width="13" customWidth="1" style="89" min="5" max="6"/>
    <col width="16" customWidth="1" style="89" min="7" max="7"/>
    <col width="13" customWidth="1" style="89" min="8" max="8"/>
    <col width="12" customWidth="1" style="89" min="9" max="9"/>
    <col width="10" customWidth="1" style="89" min="10" max="10"/>
    <col width="13" customWidth="1" style="89" min="11" max="11"/>
    <col width="9" customWidth="1" style="89" min="12" max="12"/>
    <col width="15" customWidth="1" style="89" min="13" max="13"/>
    <col width="14" customWidth="1" style="89" min="14" max="15"/>
    <col width="7" customWidth="1" style="89" min="16" max="16"/>
    <col width="14" customWidth="1" style="89" min="17" max="18"/>
    <col width="22" customWidth="1" style="89" min="20" max="20"/>
    <col width="13" customWidth="1" style="89" min="21" max="21"/>
    <col width="24" customWidth="1" style="89" min="23" max="23"/>
    <col width="8" customWidth="1" style="89" min="24" max="24"/>
  </cols>
  <sheetData>
    <row r="1" ht="17.25" customHeight="1" s="90">
      <c r="A1" s="121" t="inlineStr">
        <is>
          <t>CalcGuru  |  Fixed Asset Register &amp; Depreciation</t>
        </is>
      </c>
    </row>
    <row r="2" ht="15" customHeight="1" s="90">
      <c r="A2" s="122">
        <f>Setup!C5</f>
        <v/>
      </c>
      <c r="D2" s="123">
        <f>"FY "&amp;Setup!C8</f>
        <v/>
      </c>
    </row>
    <row r="3" ht="15" customHeight="1" s="90">
      <c r="A3" s="124" t="inlineStr">
        <is>
          <t>FY start</t>
        </is>
      </c>
      <c r="B3" s="125">
        <f>Setup!C11+1</f>
        <v/>
      </c>
      <c r="C3" s="124" t="inlineStr">
        <is>
          <t>FY end</t>
        </is>
      </c>
      <c r="D3" s="125">
        <f>Setup!C9</f>
        <v/>
      </c>
      <c r="E3" s="124" t="inlineStr">
        <is>
          <t>180-day cutoff</t>
        </is>
      </c>
      <c r="F3" s="125">
        <f>Setup!C9-179</f>
        <v/>
      </c>
      <c r="G3" s="124" t="inlineStr">
        <is>
          <t>Residual %</t>
        </is>
      </c>
      <c r="H3" s="126" t="n">
        <v>5</v>
      </c>
    </row>
    <row r="5" ht="15" customHeight="1" s="90">
      <c r="A5" s="127" t="inlineStr">
        <is>
          <t>Enter one asset per row in the shaded (yellow) cells B–I. Grey/white columns are formulas — leave them. Class &amp; block useful lives / rates are in the tables to the right (editable).</t>
        </is>
      </c>
      <c r="T5" s="128" t="inlineStr">
        <is>
          <t>Companies Act classes (Schedule II)</t>
        </is>
      </c>
      <c r="W5" s="128" t="inlineStr">
        <is>
          <t>Income-tax blocks (WDV)</t>
        </is>
      </c>
    </row>
    <row r="6" ht="21.75" customHeight="1" s="90">
      <c r="A6" s="129" t="inlineStr">
        <is>
          <t>S.No</t>
        </is>
      </c>
      <c r="B6" s="129" t="inlineStr">
        <is>
          <t>Asset description</t>
        </is>
      </c>
      <c r="C6" s="129" t="inlineStr">
        <is>
          <t>Companies Act class</t>
        </is>
      </c>
      <c r="D6" s="129" t="inlineStr">
        <is>
          <t>Income-tax block</t>
        </is>
      </c>
      <c r="E6" s="129" t="inlineStr">
        <is>
          <t>Date put to use</t>
        </is>
      </c>
      <c r="F6" s="129" t="inlineStr">
        <is>
          <t>Cost (Rs)</t>
        </is>
      </c>
      <c r="G6" s="129" t="inlineStr">
        <is>
          <t>Acc. dep up to FY start (Rs)</t>
        </is>
      </c>
      <c r="H6" s="129" t="inlineStr">
        <is>
          <t>Date of sale (if sold)</t>
        </is>
      </c>
      <c r="I6" s="129" t="inlineStr">
        <is>
          <t>Sale value (Rs)</t>
        </is>
      </c>
      <c r="J6" s="129" t="inlineStr">
        <is>
          <t>Useful life (yrs)</t>
        </is>
      </c>
      <c r="K6" s="129" t="inlineStr">
        <is>
          <t>SLM annual dep (Rs)</t>
        </is>
      </c>
      <c r="L6" s="129" t="inlineStr">
        <is>
          <t>Days in year</t>
        </is>
      </c>
      <c r="M6" s="129" t="inlineStr">
        <is>
          <t>Dep for year — CoAct (Rs)</t>
        </is>
      </c>
      <c r="N6" s="129" t="inlineStr">
        <is>
          <t>Closing acc dep (Rs)</t>
        </is>
      </c>
      <c r="O6" s="129" t="inlineStr">
        <is>
          <t>Net block — CoAct (Rs)</t>
        </is>
      </c>
      <c r="P6" s="129" t="inlineStr">
        <is>
          <t>IT rate</t>
        </is>
      </c>
      <c r="Q6" s="129" t="inlineStr">
        <is>
          <t>Addition &gt;180d (Rs)</t>
        </is>
      </c>
      <c r="R6" s="129" t="inlineStr">
        <is>
          <t>Addition &lt;180d (Rs)</t>
        </is>
      </c>
      <c r="T6" s="129" t="inlineStr">
        <is>
          <t>Class</t>
        </is>
      </c>
      <c r="U6" s="129" t="inlineStr">
        <is>
          <t>Useful life (yrs)</t>
        </is>
      </c>
      <c r="W6" s="129" t="inlineStr">
        <is>
          <t>Block</t>
        </is>
      </c>
      <c r="X6" s="129" t="inlineStr">
        <is>
          <t>Rate</t>
        </is>
      </c>
    </row>
    <row r="7" ht="15" customHeight="1" s="90">
      <c r="A7" s="130">
        <f>IF($F7="","",1)</f>
        <v/>
      </c>
      <c r="B7" s="131" t="inlineStr">
        <is>
          <t>Dell laptops (5 nos)</t>
        </is>
      </c>
      <c r="C7" s="131" t="inlineStr">
        <is>
          <t>Computers</t>
        </is>
      </c>
      <c r="D7" s="131" t="inlineStr">
        <is>
          <t>Computers (incl software)</t>
        </is>
      </c>
      <c r="E7" s="132" t="n">
        <v>45823</v>
      </c>
      <c r="F7" s="133" t="n">
        <v>300000</v>
      </c>
      <c r="G7" s="133" t="n">
        <v>0</v>
      </c>
      <c r="H7" s="132" t="n"/>
      <c r="I7" s="133" t="n"/>
      <c r="J7" s="134">
        <f>IF($F7="","",IFERROR(VLOOKUP($C7,$T$7:$U$12,2,0),""))</f>
        <v/>
      </c>
      <c r="K7" s="135">
        <f>IF($F7="","",($F7*(1-$H$3/100))/$J7)</f>
        <v/>
      </c>
      <c r="L7" s="134">
        <f>IF($F7="","",MIN(366,MAX(0,IF($H7="",$D$3,$H7)-MAX($E7,$B$3)+1)))</f>
        <v/>
      </c>
      <c r="M7" s="135">
        <f>IF($F7="","",MIN($K7*$L7/365,($F7*(1-$H$3/100))-$G7))</f>
        <v/>
      </c>
      <c r="N7" s="135">
        <f>IF($F7="","",$G7+$M7)</f>
        <v/>
      </c>
      <c r="O7" s="135">
        <f>IF($F7="","",$F7-$N7)</f>
        <v/>
      </c>
      <c r="P7" s="136">
        <f>IF($F7="","",IFERROR(VLOOKUP($D7,$W$7:$X$12,2,0),""))</f>
        <v/>
      </c>
      <c r="Q7" s="135">
        <f>IF($F7="","",IF(AND($E7&gt;=$B$3,$E7&lt;=$F$3),$F7,0))</f>
        <v/>
      </c>
      <c r="R7" s="135">
        <f>IF($F7="","",IF(AND($E7&gt;=$B$3,$E7&gt;$F$3),$F7,0))</f>
        <v/>
      </c>
      <c r="T7" s="131" t="inlineStr">
        <is>
          <t>Buildings</t>
        </is>
      </c>
      <c r="U7" s="137" t="n">
        <v>30</v>
      </c>
      <c r="W7" s="131" t="inlineStr">
        <is>
          <t>Building</t>
        </is>
      </c>
      <c r="X7" s="138" t="n">
        <v>0.1</v>
      </c>
    </row>
    <row r="8" ht="15" customHeight="1" s="90">
      <c r="A8" s="130">
        <f>IF($F8="","",2)</f>
        <v/>
      </c>
      <c r="B8" s="131" t="inlineStr">
        <is>
          <t>Factory shed</t>
        </is>
      </c>
      <c r="C8" s="131" t="inlineStr">
        <is>
          <t>Buildings</t>
        </is>
      </c>
      <c r="D8" s="131" t="inlineStr">
        <is>
          <t>Building</t>
        </is>
      </c>
      <c r="E8" s="132" t="n">
        <v>44287</v>
      </c>
      <c r="F8" s="133" t="n">
        <v>5000000</v>
      </c>
      <c r="G8" s="133" t="n">
        <v>600000</v>
      </c>
      <c r="H8" s="132" t="n"/>
      <c r="I8" s="133" t="n"/>
      <c r="J8" s="134">
        <f>IF($F8="","",IFERROR(VLOOKUP($C8,$T$7:$U$12,2,0),""))</f>
        <v/>
      </c>
      <c r="K8" s="135">
        <f>IF($F8="","",($F8*(1-$H$3/100))/$J8)</f>
        <v/>
      </c>
      <c r="L8" s="134">
        <f>IF($F8="","",MIN(366,MAX(0,IF($H8="",$D$3,$H8)-MAX($E8,$B$3)+1)))</f>
        <v/>
      </c>
      <c r="M8" s="135">
        <f>IF($F8="","",MIN($K8*$L8/365,($F8*(1-$H$3/100))-$G8))</f>
        <v/>
      </c>
      <c r="N8" s="135">
        <f>IF($F8="","",$G8+$M8)</f>
        <v/>
      </c>
      <c r="O8" s="135">
        <f>IF($F8="","",$F8-$N8)</f>
        <v/>
      </c>
      <c r="P8" s="136">
        <f>IF($F8="","",IFERROR(VLOOKUP($D8,$W$7:$X$12,2,0),""))</f>
        <v/>
      </c>
      <c r="Q8" s="135">
        <f>IF($F8="","",IF(AND($E8&gt;=$B$3,$E8&lt;=$F$3),$F8,0))</f>
        <v/>
      </c>
      <c r="R8" s="135">
        <f>IF($F8="","",IF(AND($E8&gt;=$B$3,$E8&gt;$F$3),$F8,0))</f>
        <v/>
      </c>
      <c r="T8" s="131" t="inlineStr">
        <is>
          <t>Plant and Machinery</t>
        </is>
      </c>
      <c r="U8" s="137" t="n">
        <v>15</v>
      </c>
      <c r="W8" s="131" t="inlineStr">
        <is>
          <t>Plant and Machinery</t>
        </is>
      </c>
      <c r="X8" s="138" t="n">
        <v>0.15</v>
      </c>
    </row>
    <row r="9" ht="15" customHeight="1" s="90">
      <c r="A9" s="130">
        <f>IF($F9="","",3)</f>
        <v/>
      </c>
      <c r="B9" s="131" t="n"/>
      <c r="C9" s="131" t="n"/>
      <c r="D9" s="131" t="n"/>
      <c r="E9" s="132" t="n"/>
      <c r="F9" s="133" t="n"/>
      <c r="G9" s="133" t="n"/>
      <c r="H9" s="132" t="n"/>
      <c r="I9" s="133" t="n"/>
      <c r="J9" s="134">
        <f>IF($F9="","",IFERROR(VLOOKUP($C9,$T$7:$U$12,2,0),""))</f>
        <v/>
      </c>
      <c r="K9" s="135">
        <f>IF($F9="","",($F9*(1-$H$3/100))/$J9)</f>
        <v/>
      </c>
      <c r="L9" s="134">
        <f>IF($F9="","",MIN(366,MAX(0,IF($H9="",$D$3,$H9)-MAX($E9,$B$3)+1)))</f>
        <v/>
      </c>
      <c r="M9" s="135">
        <f>IF($F9="","",MIN($K9*$L9/365,($F9*(1-$H$3/100))-$G9))</f>
        <v/>
      </c>
      <c r="N9" s="135">
        <f>IF($F9="","",$G9+$M9)</f>
        <v/>
      </c>
      <c r="O9" s="135">
        <f>IF($F9="","",$F9-$N9)</f>
        <v/>
      </c>
      <c r="P9" s="136">
        <f>IF($F9="","",IFERROR(VLOOKUP($D9,$W$7:$X$12,2,0),""))</f>
        <v/>
      </c>
      <c r="Q9" s="135">
        <f>IF($F9="","",IF(AND($E9&gt;=$B$3,$E9&lt;=$F$3),$F9,0))</f>
        <v/>
      </c>
      <c r="R9" s="135">
        <f>IF($F9="","",IF(AND($E9&gt;=$B$3,$E9&gt;$F$3),$F9,0))</f>
        <v/>
      </c>
      <c r="T9" s="131" t="inlineStr">
        <is>
          <t>Furniture and Fixtures</t>
        </is>
      </c>
      <c r="U9" s="137" t="n">
        <v>10</v>
      </c>
      <c r="W9" s="131" t="inlineStr">
        <is>
          <t>Furniture and Fittings</t>
        </is>
      </c>
      <c r="X9" s="138" t="n">
        <v>0.1</v>
      </c>
    </row>
    <row r="10" ht="15" customHeight="1" s="90">
      <c r="A10" s="130">
        <f>IF($F10="","",4)</f>
        <v/>
      </c>
      <c r="B10" s="131" t="n"/>
      <c r="C10" s="131" t="n"/>
      <c r="D10" s="131" t="n"/>
      <c r="E10" s="132" t="n"/>
      <c r="F10" s="133" t="n"/>
      <c r="G10" s="133" t="n"/>
      <c r="H10" s="132" t="n"/>
      <c r="I10" s="133" t="n"/>
      <c r="J10" s="134">
        <f>IF($F10="","",IFERROR(VLOOKUP($C10,$T$7:$U$12,2,0),""))</f>
        <v/>
      </c>
      <c r="K10" s="135">
        <f>IF($F10="","",($F10*(1-$H$3/100))/$J10)</f>
        <v/>
      </c>
      <c r="L10" s="134">
        <f>IF($F10="","",MIN(366,MAX(0,IF($H10="",$D$3,$H10)-MAX($E10,$B$3)+1)))</f>
        <v/>
      </c>
      <c r="M10" s="135">
        <f>IF($F10="","",MIN($K10*$L10/365,($F10*(1-$H$3/100))-$G10))</f>
        <v/>
      </c>
      <c r="N10" s="135">
        <f>IF($F10="","",$G10+$M10)</f>
        <v/>
      </c>
      <c r="O10" s="135">
        <f>IF($F10="","",$F10-$N10)</f>
        <v/>
      </c>
      <c r="P10" s="136">
        <f>IF($F10="","",IFERROR(VLOOKUP($D10,$W$7:$X$12,2,0),""))</f>
        <v/>
      </c>
      <c r="Q10" s="135">
        <f>IF($F10="","",IF(AND($E10&gt;=$B$3,$E10&lt;=$F$3),$F10,0))</f>
        <v/>
      </c>
      <c r="R10" s="135">
        <f>IF($F10="","",IF(AND($E10&gt;=$B$3,$E10&gt;$F$3),$F10,0))</f>
        <v/>
      </c>
      <c r="T10" s="131" t="inlineStr">
        <is>
          <t>Vehicles</t>
        </is>
      </c>
      <c r="U10" s="137" t="n">
        <v>8</v>
      </c>
      <c r="W10" s="131" t="inlineStr">
        <is>
          <t>Motor Vehicles</t>
        </is>
      </c>
      <c r="X10" s="138" t="n">
        <v>0.15</v>
      </c>
    </row>
    <row r="11" ht="15" customHeight="1" s="90">
      <c r="A11" s="130">
        <f>IF($F11="","",5)</f>
        <v/>
      </c>
      <c r="B11" s="131" t="n"/>
      <c r="C11" s="131" t="n"/>
      <c r="D11" s="131" t="n"/>
      <c r="E11" s="132" t="n"/>
      <c r="F11" s="133" t="n"/>
      <c r="G11" s="133" t="n"/>
      <c r="H11" s="132" t="n"/>
      <c r="I11" s="133" t="n"/>
      <c r="J11" s="134">
        <f>IF($F11="","",IFERROR(VLOOKUP($C11,$T$7:$U$12,2,0),""))</f>
        <v/>
      </c>
      <c r="K11" s="135">
        <f>IF($F11="","",($F11*(1-$H$3/100))/$J11)</f>
        <v/>
      </c>
      <c r="L11" s="134">
        <f>IF($F11="","",MIN(366,MAX(0,IF($H11="",$D$3,$H11)-MAX($E11,$B$3)+1)))</f>
        <v/>
      </c>
      <c r="M11" s="135">
        <f>IF($F11="","",MIN($K11*$L11/365,($F11*(1-$H$3/100))-$G11))</f>
        <v/>
      </c>
      <c r="N11" s="135">
        <f>IF($F11="","",$G11+$M11)</f>
        <v/>
      </c>
      <c r="O11" s="135">
        <f>IF($F11="","",$F11-$N11)</f>
        <v/>
      </c>
      <c r="P11" s="136">
        <f>IF($F11="","",IFERROR(VLOOKUP($D11,$W$7:$X$12,2,0),""))</f>
        <v/>
      </c>
      <c r="Q11" s="135">
        <f>IF($F11="","",IF(AND($E11&gt;=$B$3,$E11&lt;=$F$3),$F11,0))</f>
        <v/>
      </c>
      <c r="R11" s="135">
        <f>IF($F11="","",IF(AND($E11&gt;=$B$3,$E11&gt;$F$3),$F11,0))</f>
        <v/>
      </c>
      <c r="T11" s="131" t="inlineStr">
        <is>
          <t>Office Equipment</t>
        </is>
      </c>
      <c r="U11" s="137" t="n">
        <v>5</v>
      </c>
      <c r="W11" s="131" t="inlineStr">
        <is>
          <t>Computers (incl software)</t>
        </is>
      </c>
      <c r="X11" s="138" t="n">
        <v>0.4</v>
      </c>
    </row>
    <row r="12" ht="15" customHeight="1" s="90">
      <c r="A12" s="130">
        <f>IF($F12="","",6)</f>
        <v/>
      </c>
      <c r="B12" s="131" t="n"/>
      <c r="C12" s="131" t="n"/>
      <c r="D12" s="131" t="n"/>
      <c r="E12" s="132" t="n"/>
      <c r="F12" s="133" t="n"/>
      <c r="G12" s="133" t="n"/>
      <c r="H12" s="132" t="n"/>
      <c r="I12" s="133" t="n"/>
      <c r="J12" s="134">
        <f>IF($F12="","",IFERROR(VLOOKUP($C12,$T$7:$U$12,2,0),""))</f>
        <v/>
      </c>
      <c r="K12" s="135">
        <f>IF($F12="","",($F12*(1-$H$3/100))/$J12)</f>
        <v/>
      </c>
      <c r="L12" s="134">
        <f>IF($F12="","",MIN(366,MAX(0,IF($H12="",$D$3,$H12)-MAX($E12,$B$3)+1)))</f>
        <v/>
      </c>
      <c r="M12" s="135">
        <f>IF($F12="","",MIN($K12*$L12/365,($F12*(1-$H$3/100))-$G12))</f>
        <v/>
      </c>
      <c r="N12" s="135">
        <f>IF($F12="","",$G12+$M12)</f>
        <v/>
      </c>
      <c r="O12" s="135">
        <f>IF($F12="","",$F12-$N12)</f>
        <v/>
      </c>
      <c r="P12" s="136">
        <f>IF($F12="","",IFERROR(VLOOKUP($D12,$W$7:$X$12,2,0),""))</f>
        <v/>
      </c>
      <c r="Q12" s="135">
        <f>IF($F12="","",IF(AND($E12&gt;=$B$3,$E12&lt;=$F$3),$F12,0))</f>
        <v/>
      </c>
      <c r="R12" s="135">
        <f>IF($F12="","",IF(AND($E12&gt;=$B$3,$E12&gt;$F$3),$F12,0))</f>
        <v/>
      </c>
      <c r="T12" s="131" t="inlineStr">
        <is>
          <t>Computers</t>
        </is>
      </c>
      <c r="U12" s="137" t="n">
        <v>3</v>
      </c>
      <c r="W12" s="131" t="inlineStr">
        <is>
          <t>Intangible assets</t>
        </is>
      </c>
      <c r="X12" s="138" t="n">
        <v>0.25</v>
      </c>
    </row>
    <row r="13" ht="15" customHeight="1" s="90">
      <c r="A13" s="130">
        <f>IF($F13="","",7)</f>
        <v/>
      </c>
      <c r="B13" s="131" t="n"/>
      <c r="C13" s="131" t="n"/>
      <c r="D13" s="131" t="n"/>
      <c r="E13" s="132" t="n"/>
      <c r="F13" s="133" t="n"/>
      <c r="G13" s="133" t="n"/>
      <c r="H13" s="132" t="n"/>
      <c r="I13" s="133" t="n"/>
      <c r="J13" s="134">
        <f>IF($F13="","",IFERROR(VLOOKUP($C13,$T$7:$U$12,2,0),""))</f>
        <v/>
      </c>
      <c r="K13" s="135">
        <f>IF($F13="","",($F13*(1-$H$3/100))/$J13)</f>
        <v/>
      </c>
      <c r="L13" s="134">
        <f>IF($F13="","",MIN(366,MAX(0,IF($H13="",$D$3,$H13)-MAX($E13,$B$3)+1)))</f>
        <v/>
      </c>
      <c r="M13" s="135">
        <f>IF($F13="","",MIN($K13*$L13/365,($F13*(1-$H$3/100))-$G13))</f>
        <v/>
      </c>
      <c r="N13" s="135">
        <f>IF($F13="","",$G13+$M13)</f>
        <v/>
      </c>
      <c r="O13" s="135">
        <f>IF($F13="","",$F13-$N13)</f>
        <v/>
      </c>
      <c r="P13" s="136">
        <f>IF($F13="","",IFERROR(VLOOKUP($D13,$W$7:$X$12,2,0),""))</f>
        <v/>
      </c>
      <c r="Q13" s="135">
        <f>IF($F13="","",IF(AND($E13&gt;=$B$3,$E13&lt;=$F$3),$F13,0))</f>
        <v/>
      </c>
      <c r="R13" s="135">
        <f>IF($F13="","",IF(AND($E13&gt;=$B$3,$E13&gt;$F$3),$F13,0))</f>
        <v/>
      </c>
    </row>
    <row r="14" ht="15" customHeight="1" s="90">
      <c r="A14" s="130">
        <f>IF($F14="","",8)</f>
        <v/>
      </c>
      <c r="B14" s="131" t="n"/>
      <c r="C14" s="131" t="n"/>
      <c r="D14" s="131" t="n"/>
      <c r="E14" s="132" t="n"/>
      <c r="F14" s="133" t="n"/>
      <c r="G14" s="133" t="n"/>
      <c r="H14" s="132" t="n"/>
      <c r="I14" s="133" t="n"/>
      <c r="J14" s="134">
        <f>IF($F14="","",IFERROR(VLOOKUP($C14,$T$7:$U$12,2,0),""))</f>
        <v/>
      </c>
      <c r="K14" s="135">
        <f>IF($F14="","",($F14*(1-$H$3/100))/$J14)</f>
        <v/>
      </c>
      <c r="L14" s="134">
        <f>IF($F14="","",MIN(366,MAX(0,IF($H14="",$D$3,$H14)-MAX($E14,$B$3)+1)))</f>
        <v/>
      </c>
      <c r="M14" s="135">
        <f>IF($F14="","",MIN($K14*$L14/365,($F14*(1-$H$3/100))-$G14))</f>
        <v/>
      </c>
      <c r="N14" s="135">
        <f>IF($F14="","",$G14+$M14)</f>
        <v/>
      </c>
      <c r="O14" s="135">
        <f>IF($F14="","",$F14-$N14)</f>
        <v/>
      </c>
      <c r="P14" s="136">
        <f>IF($F14="","",IFERROR(VLOOKUP($D14,$W$7:$X$12,2,0),""))</f>
        <v/>
      </c>
      <c r="Q14" s="135">
        <f>IF($F14="","",IF(AND($E14&gt;=$B$3,$E14&lt;=$F$3),$F14,0))</f>
        <v/>
      </c>
      <c r="R14" s="135">
        <f>IF($F14="","",IF(AND($E14&gt;=$B$3,$E14&gt;$F$3),$F14,0))</f>
        <v/>
      </c>
    </row>
    <row r="15" ht="15" customHeight="1" s="90">
      <c r="A15" s="130">
        <f>IF($F15="","",9)</f>
        <v/>
      </c>
      <c r="B15" s="131" t="n"/>
      <c r="C15" s="131" t="n"/>
      <c r="D15" s="131" t="n"/>
      <c r="E15" s="132" t="n"/>
      <c r="F15" s="133" t="n"/>
      <c r="G15" s="133" t="n"/>
      <c r="H15" s="132" t="n"/>
      <c r="I15" s="133" t="n"/>
      <c r="J15" s="134">
        <f>IF($F15="","",IFERROR(VLOOKUP($C15,$T$7:$U$12,2,0),""))</f>
        <v/>
      </c>
      <c r="K15" s="135">
        <f>IF($F15="","",($F15*(1-$H$3/100))/$J15)</f>
        <v/>
      </c>
      <c r="L15" s="134">
        <f>IF($F15="","",MIN(366,MAX(0,IF($H15="",$D$3,$H15)-MAX($E15,$B$3)+1)))</f>
        <v/>
      </c>
      <c r="M15" s="135">
        <f>IF($F15="","",MIN($K15*$L15/365,($F15*(1-$H$3/100))-$G15))</f>
        <v/>
      </c>
      <c r="N15" s="135">
        <f>IF($F15="","",$G15+$M15)</f>
        <v/>
      </c>
      <c r="O15" s="135">
        <f>IF($F15="","",$F15-$N15)</f>
        <v/>
      </c>
      <c r="P15" s="136">
        <f>IF($F15="","",IFERROR(VLOOKUP($D15,$W$7:$X$12,2,0),""))</f>
        <v/>
      </c>
      <c r="Q15" s="135">
        <f>IF($F15="","",IF(AND($E15&gt;=$B$3,$E15&lt;=$F$3),$F15,0))</f>
        <v/>
      </c>
      <c r="R15" s="135">
        <f>IF($F15="","",IF(AND($E15&gt;=$B$3,$E15&gt;$F$3),$F15,0))</f>
        <v/>
      </c>
    </row>
    <row r="16" ht="15" customHeight="1" s="90">
      <c r="A16" s="130">
        <f>IF($F16="","",10)</f>
        <v/>
      </c>
      <c r="B16" s="131" t="n"/>
      <c r="C16" s="131" t="n"/>
      <c r="D16" s="131" t="n"/>
      <c r="E16" s="132" t="n"/>
      <c r="F16" s="133" t="n"/>
      <c r="G16" s="133" t="n"/>
      <c r="H16" s="132" t="n"/>
      <c r="I16" s="133" t="n"/>
      <c r="J16" s="134">
        <f>IF($F16="","",IFERROR(VLOOKUP($C16,$T$7:$U$12,2,0),""))</f>
        <v/>
      </c>
      <c r="K16" s="135">
        <f>IF($F16="","",($F16*(1-$H$3/100))/$J16)</f>
        <v/>
      </c>
      <c r="L16" s="134">
        <f>IF($F16="","",MIN(366,MAX(0,IF($H16="",$D$3,$H16)-MAX($E16,$B$3)+1)))</f>
        <v/>
      </c>
      <c r="M16" s="135">
        <f>IF($F16="","",MIN($K16*$L16/365,($F16*(1-$H$3/100))-$G16))</f>
        <v/>
      </c>
      <c r="N16" s="135">
        <f>IF($F16="","",$G16+$M16)</f>
        <v/>
      </c>
      <c r="O16" s="135">
        <f>IF($F16="","",$F16-$N16)</f>
        <v/>
      </c>
      <c r="P16" s="136">
        <f>IF($F16="","",IFERROR(VLOOKUP($D16,$W$7:$X$12,2,0),""))</f>
        <v/>
      </c>
      <c r="Q16" s="135">
        <f>IF($F16="","",IF(AND($E16&gt;=$B$3,$E16&lt;=$F$3),$F16,0))</f>
        <v/>
      </c>
      <c r="R16" s="135">
        <f>IF($F16="","",IF(AND($E16&gt;=$B$3,$E16&gt;$F$3),$F16,0))</f>
        <v/>
      </c>
    </row>
    <row r="17" ht="15" customHeight="1" s="90">
      <c r="A17" s="130">
        <f>IF($F17="","",11)</f>
        <v/>
      </c>
      <c r="B17" s="131" t="n"/>
      <c r="C17" s="131" t="n"/>
      <c r="D17" s="131" t="n"/>
      <c r="E17" s="132" t="n"/>
      <c r="F17" s="133" t="n"/>
      <c r="G17" s="133" t="n"/>
      <c r="H17" s="132" t="n"/>
      <c r="I17" s="133" t="n"/>
      <c r="J17" s="134">
        <f>IF($F17="","",IFERROR(VLOOKUP($C17,$T$7:$U$12,2,0),""))</f>
        <v/>
      </c>
      <c r="K17" s="135">
        <f>IF($F17="","",($F17*(1-$H$3/100))/$J17)</f>
        <v/>
      </c>
      <c r="L17" s="134">
        <f>IF($F17="","",MIN(366,MAX(0,IF($H17="",$D$3,$H17)-MAX($E17,$B$3)+1)))</f>
        <v/>
      </c>
      <c r="M17" s="135">
        <f>IF($F17="","",MIN($K17*$L17/365,($F17*(1-$H$3/100))-$G17))</f>
        <v/>
      </c>
      <c r="N17" s="135">
        <f>IF($F17="","",$G17+$M17)</f>
        <v/>
      </c>
      <c r="O17" s="135">
        <f>IF($F17="","",$F17-$N17)</f>
        <v/>
      </c>
      <c r="P17" s="136">
        <f>IF($F17="","",IFERROR(VLOOKUP($D17,$W$7:$X$12,2,0),""))</f>
        <v/>
      </c>
      <c r="Q17" s="135">
        <f>IF($F17="","",IF(AND($E17&gt;=$B$3,$E17&lt;=$F$3),$F17,0))</f>
        <v/>
      </c>
      <c r="R17" s="135">
        <f>IF($F17="","",IF(AND($E17&gt;=$B$3,$E17&gt;$F$3),$F17,0))</f>
        <v/>
      </c>
    </row>
    <row r="18" ht="15" customHeight="1" s="90">
      <c r="A18" s="130">
        <f>IF($F18="","",12)</f>
        <v/>
      </c>
      <c r="B18" s="131" t="n"/>
      <c r="C18" s="131" t="n"/>
      <c r="D18" s="131" t="n"/>
      <c r="E18" s="132" t="n"/>
      <c r="F18" s="133" t="n"/>
      <c r="G18" s="133" t="n"/>
      <c r="H18" s="132" t="n"/>
      <c r="I18" s="133" t="n"/>
      <c r="J18" s="134">
        <f>IF($F18="","",IFERROR(VLOOKUP($C18,$T$7:$U$12,2,0),""))</f>
        <v/>
      </c>
      <c r="K18" s="135">
        <f>IF($F18="","",($F18*(1-$H$3/100))/$J18)</f>
        <v/>
      </c>
      <c r="L18" s="134">
        <f>IF($F18="","",MIN(366,MAX(0,IF($H18="",$D$3,$H18)-MAX($E18,$B$3)+1)))</f>
        <v/>
      </c>
      <c r="M18" s="135">
        <f>IF($F18="","",MIN($K18*$L18/365,($F18*(1-$H$3/100))-$G18))</f>
        <v/>
      </c>
      <c r="N18" s="135">
        <f>IF($F18="","",$G18+$M18)</f>
        <v/>
      </c>
      <c r="O18" s="135">
        <f>IF($F18="","",$F18-$N18)</f>
        <v/>
      </c>
      <c r="P18" s="136">
        <f>IF($F18="","",IFERROR(VLOOKUP($D18,$W$7:$X$12,2,0),""))</f>
        <v/>
      </c>
      <c r="Q18" s="135">
        <f>IF($F18="","",IF(AND($E18&gt;=$B$3,$E18&lt;=$F$3),$F18,0))</f>
        <v/>
      </c>
      <c r="R18" s="135">
        <f>IF($F18="","",IF(AND($E18&gt;=$B$3,$E18&gt;$F$3),$F18,0))</f>
        <v/>
      </c>
    </row>
    <row r="19" ht="15" customHeight="1" s="90">
      <c r="A19" s="130">
        <f>IF($F19="","",13)</f>
        <v/>
      </c>
      <c r="B19" s="131" t="n"/>
      <c r="C19" s="131" t="n"/>
      <c r="D19" s="131" t="n"/>
      <c r="E19" s="132" t="n"/>
      <c r="F19" s="133" t="n"/>
      <c r="G19" s="133" t="n"/>
      <c r="H19" s="132" t="n"/>
      <c r="I19" s="133" t="n"/>
      <c r="J19" s="134">
        <f>IF($F19="","",IFERROR(VLOOKUP($C19,$T$7:$U$12,2,0),""))</f>
        <v/>
      </c>
      <c r="K19" s="135">
        <f>IF($F19="","",($F19*(1-$H$3/100))/$J19)</f>
        <v/>
      </c>
      <c r="L19" s="134">
        <f>IF($F19="","",MIN(366,MAX(0,IF($H19="",$D$3,$H19)-MAX($E19,$B$3)+1)))</f>
        <v/>
      </c>
      <c r="M19" s="135">
        <f>IF($F19="","",MIN($K19*$L19/365,($F19*(1-$H$3/100))-$G19))</f>
        <v/>
      </c>
      <c r="N19" s="135">
        <f>IF($F19="","",$G19+$M19)</f>
        <v/>
      </c>
      <c r="O19" s="135">
        <f>IF($F19="","",$F19-$N19)</f>
        <v/>
      </c>
      <c r="P19" s="136">
        <f>IF($F19="","",IFERROR(VLOOKUP($D19,$W$7:$X$12,2,0),""))</f>
        <v/>
      </c>
      <c r="Q19" s="135">
        <f>IF($F19="","",IF(AND($E19&gt;=$B$3,$E19&lt;=$F$3),$F19,0))</f>
        <v/>
      </c>
      <c r="R19" s="135">
        <f>IF($F19="","",IF(AND($E19&gt;=$B$3,$E19&gt;$F$3),$F19,0))</f>
        <v/>
      </c>
    </row>
    <row r="20" ht="15" customHeight="1" s="90">
      <c r="A20" s="130">
        <f>IF($F20="","",14)</f>
        <v/>
      </c>
      <c r="B20" s="131" t="n"/>
      <c r="C20" s="131" t="n"/>
      <c r="D20" s="131" t="n"/>
      <c r="E20" s="132" t="n"/>
      <c r="F20" s="133" t="n"/>
      <c r="G20" s="133" t="n"/>
      <c r="H20" s="132" t="n"/>
      <c r="I20" s="133" t="n"/>
      <c r="J20" s="134">
        <f>IF($F20="","",IFERROR(VLOOKUP($C20,$T$7:$U$12,2,0),""))</f>
        <v/>
      </c>
      <c r="K20" s="135">
        <f>IF($F20="","",($F20*(1-$H$3/100))/$J20)</f>
        <v/>
      </c>
      <c r="L20" s="134">
        <f>IF($F20="","",MIN(366,MAX(0,IF($H20="",$D$3,$H20)-MAX($E20,$B$3)+1)))</f>
        <v/>
      </c>
      <c r="M20" s="135">
        <f>IF($F20="","",MIN($K20*$L20/365,($F20*(1-$H$3/100))-$G20))</f>
        <v/>
      </c>
      <c r="N20" s="135">
        <f>IF($F20="","",$G20+$M20)</f>
        <v/>
      </c>
      <c r="O20" s="135">
        <f>IF($F20="","",$F20-$N20)</f>
        <v/>
      </c>
      <c r="P20" s="136">
        <f>IF($F20="","",IFERROR(VLOOKUP($D20,$W$7:$X$12,2,0),""))</f>
        <v/>
      </c>
      <c r="Q20" s="135">
        <f>IF($F20="","",IF(AND($E20&gt;=$B$3,$E20&lt;=$F$3),$F20,0))</f>
        <v/>
      </c>
      <c r="R20" s="135">
        <f>IF($F20="","",IF(AND($E20&gt;=$B$3,$E20&gt;$F$3),$F20,0))</f>
        <v/>
      </c>
    </row>
    <row r="21" ht="15" customHeight="1" s="90">
      <c r="A21" s="130">
        <f>IF($F21="","",15)</f>
        <v/>
      </c>
      <c r="B21" s="131" t="n"/>
      <c r="C21" s="131" t="n"/>
      <c r="D21" s="131" t="n"/>
      <c r="E21" s="132" t="n"/>
      <c r="F21" s="133" t="n"/>
      <c r="G21" s="133" t="n"/>
      <c r="H21" s="132" t="n"/>
      <c r="I21" s="133" t="n"/>
      <c r="J21" s="134">
        <f>IF($F21="","",IFERROR(VLOOKUP($C21,$T$7:$U$12,2,0),""))</f>
        <v/>
      </c>
      <c r="K21" s="135">
        <f>IF($F21="","",($F21*(1-$H$3/100))/$J21)</f>
        <v/>
      </c>
      <c r="L21" s="134">
        <f>IF($F21="","",MIN(366,MAX(0,IF($H21="",$D$3,$H21)-MAX($E21,$B$3)+1)))</f>
        <v/>
      </c>
      <c r="M21" s="135">
        <f>IF($F21="","",MIN($K21*$L21/365,($F21*(1-$H$3/100))-$G21))</f>
        <v/>
      </c>
      <c r="N21" s="135">
        <f>IF($F21="","",$G21+$M21)</f>
        <v/>
      </c>
      <c r="O21" s="135">
        <f>IF($F21="","",$F21-$N21)</f>
        <v/>
      </c>
      <c r="P21" s="136">
        <f>IF($F21="","",IFERROR(VLOOKUP($D21,$W$7:$X$12,2,0),""))</f>
        <v/>
      </c>
      <c r="Q21" s="135">
        <f>IF($F21="","",IF(AND($E21&gt;=$B$3,$E21&lt;=$F$3),$F21,0))</f>
        <v/>
      </c>
      <c r="R21" s="135">
        <f>IF($F21="","",IF(AND($E21&gt;=$B$3,$E21&gt;$F$3),$F21,0))</f>
        <v/>
      </c>
    </row>
    <row r="22" ht="15" customHeight="1" s="90">
      <c r="A22" s="130">
        <f>IF($F22="","",16)</f>
        <v/>
      </c>
      <c r="B22" s="131" t="n"/>
      <c r="C22" s="131" t="n"/>
      <c r="D22" s="131" t="n"/>
      <c r="E22" s="132" t="n"/>
      <c r="F22" s="133" t="n"/>
      <c r="G22" s="133" t="n"/>
      <c r="H22" s="132" t="n"/>
      <c r="I22" s="133" t="n"/>
      <c r="J22" s="134">
        <f>IF($F22="","",IFERROR(VLOOKUP($C22,$T$7:$U$12,2,0),""))</f>
        <v/>
      </c>
      <c r="K22" s="135">
        <f>IF($F22="","",($F22*(1-$H$3/100))/$J22)</f>
        <v/>
      </c>
      <c r="L22" s="134">
        <f>IF($F22="","",MIN(366,MAX(0,IF($H22="",$D$3,$H22)-MAX($E22,$B$3)+1)))</f>
        <v/>
      </c>
      <c r="M22" s="135">
        <f>IF($F22="","",MIN($K22*$L22/365,($F22*(1-$H$3/100))-$G22))</f>
        <v/>
      </c>
      <c r="N22" s="135">
        <f>IF($F22="","",$G22+$M22)</f>
        <v/>
      </c>
      <c r="O22" s="135">
        <f>IF($F22="","",$F22-$N22)</f>
        <v/>
      </c>
      <c r="P22" s="136">
        <f>IF($F22="","",IFERROR(VLOOKUP($D22,$W$7:$X$12,2,0),""))</f>
        <v/>
      </c>
      <c r="Q22" s="135">
        <f>IF($F22="","",IF(AND($E22&gt;=$B$3,$E22&lt;=$F$3),$F22,0))</f>
        <v/>
      </c>
      <c r="R22" s="135">
        <f>IF($F22="","",IF(AND($E22&gt;=$B$3,$E22&gt;$F$3),$F22,0))</f>
        <v/>
      </c>
    </row>
    <row r="23" ht="15" customHeight="1" s="90">
      <c r="A23" s="130">
        <f>IF($F23="","",17)</f>
        <v/>
      </c>
      <c r="B23" s="131" t="n"/>
      <c r="C23" s="131" t="n"/>
      <c r="D23" s="131" t="n"/>
      <c r="E23" s="132" t="n"/>
      <c r="F23" s="133" t="n"/>
      <c r="G23" s="133" t="n"/>
      <c r="H23" s="132" t="n"/>
      <c r="I23" s="133" t="n"/>
      <c r="J23" s="134">
        <f>IF($F23="","",IFERROR(VLOOKUP($C23,$T$7:$U$12,2,0),""))</f>
        <v/>
      </c>
      <c r="K23" s="135">
        <f>IF($F23="","",($F23*(1-$H$3/100))/$J23)</f>
        <v/>
      </c>
      <c r="L23" s="134">
        <f>IF($F23="","",MIN(366,MAX(0,IF($H23="",$D$3,$H23)-MAX($E23,$B$3)+1)))</f>
        <v/>
      </c>
      <c r="M23" s="135">
        <f>IF($F23="","",MIN($K23*$L23/365,($F23*(1-$H$3/100))-$G23))</f>
        <v/>
      </c>
      <c r="N23" s="135">
        <f>IF($F23="","",$G23+$M23)</f>
        <v/>
      </c>
      <c r="O23" s="135">
        <f>IF($F23="","",$F23-$N23)</f>
        <v/>
      </c>
      <c r="P23" s="136">
        <f>IF($F23="","",IFERROR(VLOOKUP($D23,$W$7:$X$12,2,0),""))</f>
        <v/>
      </c>
      <c r="Q23" s="135">
        <f>IF($F23="","",IF(AND($E23&gt;=$B$3,$E23&lt;=$F$3),$F23,0))</f>
        <v/>
      </c>
      <c r="R23" s="135">
        <f>IF($F23="","",IF(AND($E23&gt;=$B$3,$E23&gt;$F$3),$F23,0))</f>
        <v/>
      </c>
    </row>
    <row r="24" ht="15" customHeight="1" s="90">
      <c r="A24" s="130">
        <f>IF($F24="","",18)</f>
        <v/>
      </c>
      <c r="B24" s="131" t="n"/>
      <c r="C24" s="131" t="n"/>
      <c r="D24" s="131" t="n"/>
      <c r="E24" s="132" t="n"/>
      <c r="F24" s="133" t="n"/>
      <c r="G24" s="133" t="n"/>
      <c r="H24" s="132" t="n"/>
      <c r="I24" s="133" t="n"/>
      <c r="J24" s="134">
        <f>IF($F24="","",IFERROR(VLOOKUP($C24,$T$7:$U$12,2,0),""))</f>
        <v/>
      </c>
      <c r="K24" s="135">
        <f>IF($F24="","",($F24*(1-$H$3/100))/$J24)</f>
        <v/>
      </c>
      <c r="L24" s="134">
        <f>IF($F24="","",MIN(366,MAX(0,IF($H24="",$D$3,$H24)-MAX($E24,$B$3)+1)))</f>
        <v/>
      </c>
      <c r="M24" s="135">
        <f>IF($F24="","",MIN($K24*$L24/365,($F24*(1-$H$3/100))-$G24))</f>
        <v/>
      </c>
      <c r="N24" s="135">
        <f>IF($F24="","",$G24+$M24)</f>
        <v/>
      </c>
      <c r="O24" s="135">
        <f>IF($F24="","",$F24-$N24)</f>
        <v/>
      </c>
      <c r="P24" s="136">
        <f>IF($F24="","",IFERROR(VLOOKUP($D24,$W$7:$X$12,2,0),""))</f>
        <v/>
      </c>
      <c r="Q24" s="135">
        <f>IF($F24="","",IF(AND($E24&gt;=$B$3,$E24&lt;=$F$3),$F24,0))</f>
        <v/>
      </c>
      <c r="R24" s="135">
        <f>IF($F24="","",IF(AND($E24&gt;=$B$3,$E24&gt;$F$3),$F24,0))</f>
        <v/>
      </c>
    </row>
    <row r="25" ht="15" customHeight="1" s="90">
      <c r="A25" s="130">
        <f>IF($F25="","",19)</f>
        <v/>
      </c>
      <c r="B25" s="131" t="n"/>
      <c r="C25" s="131" t="n"/>
      <c r="D25" s="131" t="n"/>
      <c r="E25" s="132" t="n"/>
      <c r="F25" s="133" t="n"/>
      <c r="G25" s="133" t="n"/>
      <c r="H25" s="132" t="n"/>
      <c r="I25" s="133" t="n"/>
      <c r="J25" s="134">
        <f>IF($F25="","",IFERROR(VLOOKUP($C25,$T$7:$U$12,2,0),""))</f>
        <v/>
      </c>
      <c r="K25" s="135">
        <f>IF($F25="","",($F25*(1-$H$3/100))/$J25)</f>
        <v/>
      </c>
      <c r="L25" s="134">
        <f>IF($F25="","",MIN(366,MAX(0,IF($H25="",$D$3,$H25)-MAX($E25,$B$3)+1)))</f>
        <v/>
      </c>
      <c r="M25" s="135">
        <f>IF($F25="","",MIN($K25*$L25/365,($F25*(1-$H$3/100))-$G25))</f>
        <v/>
      </c>
      <c r="N25" s="135">
        <f>IF($F25="","",$G25+$M25)</f>
        <v/>
      </c>
      <c r="O25" s="135">
        <f>IF($F25="","",$F25-$N25)</f>
        <v/>
      </c>
      <c r="P25" s="136">
        <f>IF($F25="","",IFERROR(VLOOKUP($D25,$W$7:$X$12,2,0),""))</f>
        <v/>
      </c>
      <c r="Q25" s="135">
        <f>IF($F25="","",IF(AND($E25&gt;=$B$3,$E25&lt;=$F$3),$F25,0))</f>
        <v/>
      </c>
      <c r="R25" s="135">
        <f>IF($F25="","",IF(AND($E25&gt;=$B$3,$E25&gt;$F$3),$F25,0))</f>
        <v/>
      </c>
    </row>
    <row r="26" ht="15" customHeight="1" s="90">
      <c r="A26" s="130">
        <f>IF($F26="","",20)</f>
        <v/>
      </c>
      <c r="B26" s="131" t="n"/>
      <c r="C26" s="131" t="n"/>
      <c r="D26" s="131" t="n"/>
      <c r="E26" s="132" t="n"/>
      <c r="F26" s="133" t="n"/>
      <c r="G26" s="133" t="n"/>
      <c r="H26" s="132" t="n"/>
      <c r="I26" s="133" t="n"/>
      <c r="J26" s="134">
        <f>IF($F26="","",IFERROR(VLOOKUP($C26,$T$7:$U$12,2,0),""))</f>
        <v/>
      </c>
      <c r="K26" s="135">
        <f>IF($F26="","",($F26*(1-$H$3/100))/$J26)</f>
        <v/>
      </c>
      <c r="L26" s="134">
        <f>IF($F26="","",MIN(366,MAX(0,IF($H26="",$D$3,$H26)-MAX($E26,$B$3)+1)))</f>
        <v/>
      </c>
      <c r="M26" s="135">
        <f>IF($F26="","",MIN($K26*$L26/365,($F26*(1-$H$3/100))-$G26))</f>
        <v/>
      </c>
      <c r="N26" s="135">
        <f>IF($F26="","",$G26+$M26)</f>
        <v/>
      </c>
      <c r="O26" s="135">
        <f>IF($F26="","",$F26-$N26)</f>
        <v/>
      </c>
      <c r="P26" s="136">
        <f>IF($F26="","",IFERROR(VLOOKUP($D26,$W$7:$X$12,2,0),""))</f>
        <v/>
      </c>
      <c r="Q26" s="135">
        <f>IF($F26="","",IF(AND($E26&gt;=$B$3,$E26&lt;=$F$3),$F26,0))</f>
        <v/>
      </c>
      <c r="R26" s="135">
        <f>IF($F26="","",IF(AND($E26&gt;=$B$3,$E26&gt;$F$3),$F26,0))</f>
        <v/>
      </c>
    </row>
    <row r="27" ht="15" customHeight="1" s="90">
      <c r="A27" s="130">
        <f>IF($F27="","",21)</f>
        <v/>
      </c>
      <c r="B27" s="131" t="n"/>
      <c r="C27" s="131" t="n"/>
      <c r="D27" s="131" t="n"/>
      <c r="E27" s="132" t="n"/>
      <c r="F27" s="133" t="n"/>
      <c r="G27" s="133" t="n"/>
      <c r="H27" s="132" t="n"/>
      <c r="I27" s="133" t="n"/>
      <c r="J27" s="134">
        <f>IF($F27="","",IFERROR(VLOOKUP($C27,$T$7:$U$12,2,0),""))</f>
        <v/>
      </c>
      <c r="K27" s="135">
        <f>IF($F27="","",($F27*(1-$H$3/100))/$J27)</f>
        <v/>
      </c>
      <c r="L27" s="134">
        <f>IF($F27="","",MIN(366,MAX(0,IF($H27="",$D$3,$H27)-MAX($E27,$B$3)+1)))</f>
        <v/>
      </c>
      <c r="M27" s="135">
        <f>IF($F27="","",MIN($K27*$L27/365,($F27*(1-$H$3/100))-$G27))</f>
        <v/>
      </c>
      <c r="N27" s="135">
        <f>IF($F27="","",$G27+$M27)</f>
        <v/>
      </c>
      <c r="O27" s="135">
        <f>IF($F27="","",$F27-$N27)</f>
        <v/>
      </c>
      <c r="P27" s="136">
        <f>IF($F27="","",IFERROR(VLOOKUP($D27,$W$7:$X$12,2,0),""))</f>
        <v/>
      </c>
      <c r="Q27" s="135">
        <f>IF($F27="","",IF(AND($E27&gt;=$B$3,$E27&lt;=$F$3),$F27,0))</f>
        <v/>
      </c>
      <c r="R27" s="135">
        <f>IF($F27="","",IF(AND($E27&gt;=$B$3,$E27&gt;$F$3),$F27,0))</f>
        <v/>
      </c>
    </row>
    <row r="28" ht="15" customHeight="1" s="90">
      <c r="A28" s="130">
        <f>IF($F28="","",22)</f>
        <v/>
      </c>
      <c r="B28" s="131" t="n"/>
      <c r="C28" s="131" t="n"/>
      <c r="D28" s="131" t="n"/>
      <c r="E28" s="132" t="n"/>
      <c r="F28" s="133" t="n"/>
      <c r="G28" s="133" t="n"/>
      <c r="H28" s="132" t="n"/>
      <c r="I28" s="133" t="n"/>
      <c r="J28" s="134">
        <f>IF($F28="","",IFERROR(VLOOKUP($C28,$T$7:$U$12,2,0),""))</f>
        <v/>
      </c>
      <c r="K28" s="135">
        <f>IF($F28="","",($F28*(1-$H$3/100))/$J28)</f>
        <v/>
      </c>
      <c r="L28" s="134">
        <f>IF($F28="","",MIN(366,MAX(0,IF($H28="",$D$3,$H28)-MAX($E28,$B$3)+1)))</f>
        <v/>
      </c>
      <c r="M28" s="135">
        <f>IF($F28="","",MIN($K28*$L28/365,($F28*(1-$H$3/100))-$G28))</f>
        <v/>
      </c>
      <c r="N28" s="135">
        <f>IF($F28="","",$G28+$M28)</f>
        <v/>
      </c>
      <c r="O28" s="135">
        <f>IF($F28="","",$F28-$N28)</f>
        <v/>
      </c>
      <c r="P28" s="136">
        <f>IF($F28="","",IFERROR(VLOOKUP($D28,$W$7:$X$12,2,0),""))</f>
        <v/>
      </c>
      <c r="Q28" s="135">
        <f>IF($F28="","",IF(AND($E28&gt;=$B$3,$E28&lt;=$F$3),$F28,0))</f>
        <v/>
      </c>
      <c r="R28" s="135">
        <f>IF($F28="","",IF(AND($E28&gt;=$B$3,$E28&gt;$F$3),$F28,0))</f>
        <v/>
      </c>
    </row>
    <row r="29" ht="15" customHeight="1" s="90">
      <c r="A29" s="130">
        <f>IF($F29="","",23)</f>
        <v/>
      </c>
      <c r="B29" s="131" t="n"/>
      <c r="C29" s="131" t="n"/>
      <c r="D29" s="131" t="n"/>
      <c r="E29" s="132" t="n"/>
      <c r="F29" s="133" t="n"/>
      <c r="G29" s="133" t="n"/>
      <c r="H29" s="132" t="n"/>
      <c r="I29" s="133" t="n"/>
      <c r="J29" s="134">
        <f>IF($F29="","",IFERROR(VLOOKUP($C29,$T$7:$U$12,2,0),""))</f>
        <v/>
      </c>
      <c r="K29" s="135">
        <f>IF($F29="","",($F29*(1-$H$3/100))/$J29)</f>
        <v/>
      </c>
      <c r="L29" s="134">
        <f>IF($F29="","",MIN(366,MAX(0,IF($H29="",$D$3,$H29)-MAX($E29,$B$3)+1)))</f>
        <v/>
      </c>
      <c r="M29" s="135">
        <f>IF($F29="","",MIN($K29*$L29/365,($F29*(1-$H$3/100))-$G29))</f>
        <v/>
      </c>
      <c r="N29" s="135">
        <f>IF($F29="","",$G29+$M29)</f>
        <v/>
      </c>
      <c r="O29" s="135">
        <f>IF($F29="","",$F29-$N29)</f>
        <v/>
      </c>
      <c r="P29" s="136">
        <f>IF($F29="","",IFERROR(VLOOKUP($D29,$W$7:$X$12,2,0),""))</f>
        <v/>
      </c>
      <c r="Q29" s="135">
        <f>IF($F29="","",IF(AND($E29&gt;=$B$3,$E29&lt;=$F$3),$F29,0))</f>
        <v/>
      </c>
      <c r="R29" s="135">
        <f>IF($F29="","",IF(AND($E29&gt;=$B$3,$E29&gt;$F$3),$F29,0))</f>
        <v/>
      </c>
    </row>
    <row r="30" ht="15" customHeight="1" s="90">
      <c r="A30" s="130">
        <f>IF($F30="","",24)</f>
        <v/>
      </c>
      <c r="B30" s="131" t="n"/>
      <c r="C30" s="131" t="n"/>
      <c r="D30" s="131" t="n"/>
      <c r="E30" s="132" t="n"/>
      <c r="F30" s="133" t="n"/>
      <c r="G30" s="133" t="n"/>
      <c r="H30" s="132" t="n"/>
      <c r="I30" s="133" t="n"/>
      <c r="J30" s="134">
        <f>IF($F30="","",IFERROR(VLOOKUP($C30,$T$7:$U$12,2,0),""))</f>
        <v/>
      </c>
      <c r="K30" s="135">
        <f>IF($F30="","",($F30*(1-$H$3/100))/$J30)</f>
        <v/>
      </c>
      <c r="L30" s="134">
        <f>IF($F30="","",MIN(366,MAX(0,IF($H30="",$D$3,$H30)-MAX($E30,$B$3)+1)))</f>
        <v/>
      </c>
      <c r="M30" s="135">
        <f>IF($F30="","",MIN($K30*$L30/365,($F30*(1-$H$3/100))-$G30))</f>
        <v/>
      </c>
      <c r="N30" s="135">
        <f>IF($F30="","",$G30+$M30)</f>
        <v/>
      </c>
      <c r="O30" s="135">
        <f>IF($F30="","",$F30-$N30)</f>
        <v/>
      </c>
      <c r="P30" s="136">
        <f>IF($F30="","",IFERROR(VLOOKUP($D30,$W$7:$X$12,2,0),""))</f>
        <v/>
      </c>
      <c r="Q30" s="135">
        <f>IF($F30="","",IF(AND($E30&gt;=$B$3,$E30&lt;=$F$3),$F30,0))</f>
        <v/>
      </c>
      <c r="R30" s="135">
        <f>IF($F30="","",IF(AND($E30&gt;=$B$3,$E30&gt;$F$3),$F30,0))</f>
        <v/>
      </c>
    </row>
    <row r="31" ht="15" customHeight="1" s="90">
      <c r="A31" s="130">
        <f>IF($F31="","",25)</f>
        <v/>
      </c>
      <c r="B31" s="131" t="n"/>
      <c r="C31" s="131" t="n"/>
      <c r="D31" s="131" t="n"/>
      <c r="E31" s="132" t="n"/>
      <c r="F31" s="133" t="n"/>
      <c r="G31" s="133" t="n"/>
      <c r="H31" s="132" t="n"/>
      <c r="I31" s="133" t="n"/>
      <c r="J31" s="134">
        <f>IF($F31="","",IFERROR(VLOOKUP($C31,$T$7:$U$12,2,0),""))</f>
        <v/>
      </c>
      <c r="K31" s="135">
        <f>IF($F31="","",($F31*(1-$H$3/100))/$J31)</f>
        <v/>
      </c>
      <c r="L31" s="134">
        <f>IF($F31="","",MIN(366,MAX(0,IF($H31="",$D$3,$H31)-MAX($E31,$B$3)+1)))</f>
        <v/>
      </c>
      <c r="M31" s="135">
        <f>IF($F31="","",MIN($K31*$L31/365,($F31*(1-$H$3/100))-$G31))</f>
        <v/>
      </c>
      <c r="N31" s="135">
        <f>IF($F31="","",$G31+$M31)</f>
        <v/>
      </c>
      <c r="O31" s="135">
        <f>IF($F31="","",$F31-$N31)</f>
        <v/>
      </c>
      <c r="P31" s="136">
        <f>IF($F31="","",IFERROR(VLOOKUP($D31,$W$7:$X$12,2,0),""))</f>
        <v/>
      </c>
      <c r="Q31" s="135">
        <f>IF($F31="","",IF(AND($E31&gt;=$B$3,$E31&lt;=$F$3),$F31,0))</f>
        <v/>
      </c>
      <c r="R31" s="135">
        <f>IF($F31="","",IF(AND($E31&gt;=$B$3,$E31&gt;$F$3),$F31,0))</f>
        <v/>
      </c>
    </row>
    <row r="32" ht="15" customHeight="1" s="90">
      <c r="A32" s="130">
        <f>IF($F32="","",26)</f>
        <v/>
      </c>
      <c r="B32" s="131" t="n"/>
      <c r="C32" s="131" t="n"/>
      <c r="D32" s="131" t="n"/>
      <c r="E32" s="132" t="n"/>
      <c r="F32" s="133" t="n"/>
      <c r="G32" s="133" t="n"/>
      <c r="H32" s="132" t="n"/>
      <c r="I32" s="133" t="n"/>
      <c r="J32" s="134">
        <f>IF($F32="","",IFERROR(VLOOKUP($C32,$T$7:$U$12,2,0),""))</f>
        <v/>
      </c>
      <c r="K32" s="135">
        <f>IF($F32="","",($F32*(1-$H$3/100))/$J32)</f>
        <v/>
      </c>
      <c r="L32" s="134">
        <f>IF($F32="","",MIN(366,MAX(0,IF($H32="",$D$3,$H32)-MAX($E32,$B$3)+1)))</f>
        <v/>
      </c>
      <c r="M32" s="135">
        <f>IF($F32="","",MIN($K32*$L32/365,($F32*(1-$H$3/100))-$G32))</f>
        <v/>
      </c>
      <c r="N32" s="135">
        <f>IF($F32="","",$G32+$M32)</f>
        <v/>
      </c>
      <c r="O32" s="135">
        <f>IF($F32="","",$F32-$N32)</f>
        <v/>
      </c>
      <c r="P32" s="136">
        <f>IF($F32="","",IFERROR(VLOOKUP($D32,$W$7:$X$12,2,0),""))</f>
        <v/>
      </c>
      <c r="Q32" s="135">
        <f>IF($F32="","",IF(AND($E32&gt;=$B$3,$E32&lt;=$F$3),$F32,0))</f>
        <v/>
      </c>
      <c r="R32" s="135">
        <f>IF($F32="","",IF(AND($E32&gt;=$B$3,$E32&gt;$F$3),$F32,0))</f>
        <v/>
      </c>
    </row>
    <row r="33" ht="15" customHeight="1" s="90">
      <c r="A33" s="130">
        <f>IF($F33="","",27)</f>
        <v/>
      </c>
      <c r="B33" s="131" t="n"/>
      <c r="C33" s="131" t="n"/>
      <c r="D33" s="131" t="n"/>
      <c r="E33" s="132" t="n"/>
      <c r="F33" s="133" t="n"/>
      <c r="G33" s="133" t="n"/>
      <c r="H33" s="132" t="n"/>
      <c r="I33" s="133" t="n"/>
      <c r="J33" s="134">
        <f>IF($F33="","",IFERROR(VLOOKUP($C33,$T$7:$U$12,2,0),""))</f>
        <v/>
      </c>
      <c r="K33" s="135">
        <f>IF($F33="","",($F33*(1-$H$3/100))/$J33)</f>
        <v/>
      </c>
      <c r="L33" s="134">
        <f>IF($F33="","",MIN(366,MAX(0,IF($H33="",$D$3,$H33)-MAX($E33,$B$3)+1)))</f>
        <v/>
      </c>
      <c r="M33" s="135">
        <f>IF($F33="","",MIN($K33*$L33/365,($F33*(1-$H$3/100))-$G33))</f>
        <v/>
      </c>
      <c r="N33" s="135">
        <f>IF($F33="","",$G33+$M33)</f>
        <v/>
      </c>
      <c r="O33" s="135">
        <f>IF($F33="","",$F33-$N33)</f>
        <v/>
      </c>
      <c r="P33" s="136">
        <f>IF($F33="","",IFERROR(VLOOKUP($D33,$W$7:$X$12,2,0),""))</f>
        <v/>
      </c>
      <c r="Q33" s="135">
        <f>IF($F33="","",IF(AND($E33&gt;=$B$3,$E33&lt;=$F$3),$F33,0))</f>
        <v/>
      </c>
      <c r="R33" s="135">
        <f>IF($F33="","",IF(AND($E33&gt;=$B$3,$E33&gt;$F$3),$F33,0))</f>
        <v/>
      </c>
    </row>
    <row r="34" ht="15" customHeight="1" s="90">
      <c r="A34" s="130">
        <f>IF($F34="","",28)</f>
        <v/>
      </c>
      <c r="B34" s="131" t="n"/>
      <c r="C34" s="131" t="n"/>
      <c r="D34" s="131" t="n"/>
      <c r="E34" s="132" t="n"/>
      <c r="F34" s="133" t="n"/>
      <c r="G34" s="133" t="n"/>
      <c r="H34" s="132" t="n"/>
      <c r="I34" s="133" t="n"/>
      <c r="J34" s="134">
        <f>IF($F34="","",IFERROR(VLOOKUP($C34,$T$7:$U$12,2,0),""))</f>
        <v/>
      </c>
      <c r="K34" s="135">
        <f>IF($F34="","",($F34*(1-$H$3/100))/$J34)</f>
        <v/>
      </c>
      <c r="L34" s="134">
        <f>IF($F34="","",MIN(366,MAX(0,IF($H34="",$D$3,$H34)-MAX($E34,$B$3)+1)))</f>
        <v/>
      </c>
      <c r="M34" s="135">
        <f>IF($F34="","",MIN($K34*$L34/365,($F34*(1-$H$3/100))-$G34))</f>
        <v/>
      </c>
      <c r="N34" s="135">
        <f>IF($F34="","",$G34+$M34)</f>
        <v/>
      </c>
      <c r="O34" s="135">
        <f>IF($F34="","",$F34-$N34)</f>
        <v/>
      </c>
      <c r="P34" s="136">
        <f>IF($F34="","",IFERROR(VLOOKUP($D34,$W$7:$X$12,2,0),""))</f>
        <v/>
      </c>
      <c r="Q34" s="135">
        <f>IF($F34="","",IF(AND($E34&gt;=$B$3,$E34&lt;=$F$3),$F34,0))</f>
        <v/>
      </c>
      <c r="R34" s="135">
        <f>IF($F34="","",IF(AND($E34&gt;=$B$3,$E34&gt;$F$3),$F34,0))</f>
        <v/>
      </c>
    </row>
    <row r="35" ht="15" customHeight="1" s="90">
      <c r="A35" s="130">
        <f>IF($F35="","",29)</f>
        <v/>
      </c>
      <c r="B35" s="131" t="n"/>
      <c r="C35" s="131" t="n"/>
      <c r="D35" s="131" t="n"/>
      <c r="E35" s="132" t="n"/>
      <c r="F35" s="133" t="n"/>
      <c r="G35" s="133" t="n"/>
      <c r="H35" s="132" t="n"/>
      <c r="I35" s="133" t="n"/>
      <c r="J35" s="134">
        <f>IF($F35="","",IFERROR(VLOOKUP($C35,$T$7:$U$12,2,0),""))</f>
        <v/>
      </c>
      <c r="K35" s="135">
        <f>IF($F35="","",($F35*(1-$H$3/100))/$J35)</f>
        <v/>
      </c>
      <c r="L35" s="134">
        <f>IF($F35="","",MIN(366,MAX(0,IF($H35="",$D$3,$H35)-MAX($E35,$B$3)+1)))</f>
        <v/>
      </c>
      <c r="M35" s="135">
        <f>IF($F35="","",MIN($K35*$L35/365,($F35*(1-$H$3/100))-$G35))</f>
        <v/>
      </c>
      <c r="N35" s="135">
        <f>IF($F35="","",$G35+$M35)</f>
        <v/>
      </c>
      <c r="O35" s="135">
        <f>IF($F35="","",$F35-$N35)</f>
        <v/>
      </c>
      <c r="P35" s="136">
        <f>IF($F35="","",IFERROR(VLOOKUP($D35,$W$7:$X$12,2,0),""))</f>
        <v/>
      </c>
      <c r="Q35" s="135">
        <f>IF($F35="","",IF(AND($E35&gt;=$B$3,$E35&lt;=$F$3),$F35,0))</f>
        <v/>
      </c>
      <c r="R35" s="135">
        <f>IF($F35="","",IF(AND($E35&gt;=$B$3,$E35&gt;$F$3),$F35,0))</f>
        <v/>
      </c>
    </row>
    <row r="36" ht="15" customHeight="1" s="90">
      <c r="A36" s="130">
        <f>IF($F36="","",30)</f>
        <v/>
      </c>
      <c r="B36" s="131" t="n"/>
      <c r="C36" s="131" t="n"/>
      <c r="D36" s="131" t="n"/>
      <c r="E36" s="132" t="n"/>
      <c r="F36" s="133" t="n"/>
      <c r="G36" s="133" t="n"/>
      <c r="H36" s="132" t="n"/>
      <c r="I36" s="133" t="n"/>
      <c r="J36" s="134">
        <f>IF($F36="","",IFERROR(VLOOKUP($C36,$T$7:$U$12,2,0),""))</f>
        <v/>
      </c>
      <c r="K36" s="135">
        <f>IF($F36="","",($F36*(1-$H$3/100))/$J36)</f>
        <v/>
      </c>
      <c r="L36" s="134">
        <f>IF($F36="","",MIN(366,MAX(0,IF($H36="",$D$3,$H36)-MAX($E36,$B$3)+1)))</f>
        <v/>
      </c>
      <c r="M36" s="135">
        <f>IF($F36="","",MIN($K36*$L36/365,($F36*(1-$H$3/100))-$G36))</f>
        <v/>
      </c>
      <c r="N36" s="135">
        <f>IF($F36="","",$G36+$M36)</f>
        <v/>
      </c>
      <c r="O36" s="135">
        <f>IF($F36="","",$F36-$N36)</f>
        <v/>
      </c>
      <c r="P36" s="136">
        <f>IF($F36="","",IFERROR(VLOOKUP($D36,$W$7:$X$12,2,0),""))</f>
        <v/>
      </c>
      <c r="Q36" s="135">
        <f>IF($F36="","",IF(AND($E36&gt;=$B$3,$E36&lt;=$F$3),$F36,0))</f>
        <v/>
      </c>
      <c r="R36" s="135">
        <f>IF($F36="","",IF(AND($E36&gt;=$B$3,$E36&gt;$F$3),$F36,0))</f>
        <v/>
      </c>
    </row>
    <row r="37" ht="15" customHeight="1" s="90">
      <c r="A37" s="130">
        <f>IF($F37="","",31)</f>
        <v/>
      </c>
      <c r="B37" s="131" t="n"/>
      <c r="C37" s="131" t="n"/>
      <c r="D37" s="131" t="n"/>
      <c r="E37" s="132" t="n"/>
      <c r="F37" s="133" t="n"/>
      <c r="G37" s="133" t="n"/>
      <c r="H37" s="132" t="n"/>
      <c r="I37" s="133" t="n"/>
      <c r="J37" s="134">
        <f>IF($F37="","",IFERROR(VLOOKUP($C37,$T$7:$U$12,2,0),""))</f>
        <v/>
      </c>
      <c r="K37" s="135">
        <f>IF($F37="","",($F37*(1-$H$3/100))/$J37)</f>
        <v/>
      </c>
      <c r="L37" s="134">
        <f>IF($F37="","",MIN(366,MAX(0,IF($H37="",$D$3,$H37)-MAX($E37,$B$3)+1)))</f>
        <v/>
      </c>
      <c r="M37" s="135">
        <f>IF($F37="","",MIN($K37*$L37/365,($F37*(1-$H$3/100))-$G37))</f>
        <v/>
      </c>
      <c r="N37" s="135">
        <f>IF($F37="","",$G37+$M37)</f>
        <v/>
      </c>
      <c r="O37" s="135">
        <f>IF($F37="","",$F37-$N37)</f>
        <v/>
      </c>
      <c r="P37" s="136">
        <f>IF($F37="","",IFERROR(VLOOKUP($D37,$W$7:$X$12,2,0),""))</f>
        <v/>
      </c>
      <c r="Q37" s="135">
        <f>IF($F37="","",IF(AND($E37&gt;=$B$3,$E37&lt;=$F$3),$F37,0))</f>
        <v/>
      </c>
      <c r="R37" s="135">
        <f>IF($F37="","",IF(AND($E37&gt;=$B$3,$E37&gt;$F$3),$F37,0))</f>
        <v/>
      </c>
    </row>
    <row r="38" ht="15" customHeight="1" s="90">
      <c r="A38" s="130">
        <f>IF($F38="","",32)</f>
        <v/>
      </c>
      <c r="B38" s="131" t="n"/>
      <c r="C38" s="131" t="n"/>
      <c r="D38" s="131" t="n"/>
      <c r="E38" s="132" t="n"/>
      <c r="F38" s="133" t="n"/>
      <c r="G38" s="133" t="n"/>
      <c r="H38" s="132" t="n"/>
      <c r="I38" s="133" t="n"/>
      <c r="J38" s="134">
        <f>IF($F38="","",IFERROR(VLOOKUP($C38,$T$7:$U$12,2,0),""))</f>
        <v/>
      </c>
      <c r="K38" s="135">
        <f>IF($F38="","",($F38*(1-$H$3/100))/$J38)</f>
        <v/>
      </c>
      <c r="L38" s="134">
        <f>IF($F38="","",MIN(366,MAX(0,IF($H38="",$D$3,$H38)-MAX($E38,$B$3)+1)))</f>
        <v/>
      </c>
      <c r="M38" s="135">
        <f>IF($F38="","",MIN($K38*$L38/365,($F38*(1-$H$3/100))-$G38))</f>
        <v/>
      </c>
      <c r="N38" s="135">
        <f>IF($F38="","",$G38+$M38)</f>
        <v/>
      </c>
      <c r="O38" s="135">
        <f>IF($F38="","",$F38-$N38)</f>
        <v/>
      </c>
      <c r="P38" s="136">
        <f>IF($F38="","",IFERROR(VLOOKUP($D38,$W$7:$X$12,2,0),""))</f>
        <v/>
      </c>
      <c r="Q38" s="135">
        <f>IF($F38="","",IF(AND($E38&gt;=$B$3,$E38&lt;=$F$3),$F38,0))</f>
        <v/>
      </c>
      <c r="R38" s="135">
        <f>IF($F38="","",IF(AND($E38&gt;=$B$3,$E38&gt;$F$3),$F38,0))</f>
        <v/>
      </c>
    </row>
    <row r="39" ht="15" customHeight="1" s="90">
      <c r="A39" s="130">
        <f>IF($F39="","",33)</f>
        <v/>
      </c>
      <c r="B39" s="131" t="n"/>
      <c r="C39" s="131" t="n"/>
      <c r="D39" s="131" t="n"/>
      <c r="E39" s="132" t="n"/>
      <c r="F39" s="133" t="n"/>
      <c r="G39" s="133" t="n"/>
      <c r="H39" s="132" t="n"/>
      <c r="I39" s="133" t="n"/>
      <c r="J39" s="134">
        <f>IF($F39="","",IFERROR(VLOOKUP($C39,$T$7:$U$12,2,0),""))</f>
        <v/>
      </c>
      <c r="K39" s="135">
        <f>IF($F39="","",($F39*(1-$H$3/100))/$J39)</f>
        <v/>
      </c>
      <c r="L39" s="134">
        <f>IF($F39="","",MIN(366,MAX(0,IF($H39="",$D$3,$H39)-MAX($E39,$B$3)+1)))</f>
        <v/>
      </c>
      <c r="M39" s="135">
        <f>IF($F39="","",MIN($K39*$L39/365,($F39*(1-$H$3/100))-$G39))</f>
        <v/>
      </c>
      <c r="N39" s="135">
        <f>IF($F39="","",$G39+$M39)</f>
        <v/>
      </c>
      <c r="O39" s="135">
        <f>IF($F39="","",$F39-$N39)</f>
        <v/>
      </c>
      <c r="P39" s="136">
        <f>IF($F39="","",IFERROR(VLOOKUP($D39,$W$7:$X$12,2,0),""))</f>
        <v/>
      </c>
      <c r="Q39" s="135">
        <f>IF($F39="","",IF(AND($E39&gt;=$B$3,$E39&lt;=$F$3),$F39,0))</f>
        <v/>
      </c>
      <c r="R39" s="135">
        <f>IF($F39="","",IF(AND($E39&gt;=$B$3,$E39&gt;$F$3),$F39,0))</f>
        <v/>
      </c>
    </row>
    <row r="40" ht="15" customHeight="1" s="90">
      <c r="A40" s="130">
        <f>IF($F40="","",34)</f>
        <v/>
      </c>
      <c r="B40" s="131" t="n"/>
      <c r="C40" s="131" t="n"/>
      <c r="D40" s="131" t="n"/>
      <c r="E40" s="132" t="n"/>
      <c r="F40" s="133" t="n"/>
      <c r="G40" s="133" t="n"/>
      <c r="H40" s="132" t="n"/>
      <c r="I40" s="133" t="n"/>
      <c r="J40" s="134">
        <f>IF($F40="","",IFERROR(VLOOKUP($C40,$T$7:$U$12,2,0),""))</f>
        <v/>
      </c>
      <c r="K40" s="135">
        <f>IF($F40="","",($F40*(1-$H$3/100))/$J40)</f>
        <v/>
      </c>
      <c r="L40" s="134">
        <f>IF($F40="","",MIN(366,MAX(0,IF($H40="",$D$3,$H40)-MAX($E40,$B$3)+1)))</f>
        <v/>
      </c>
      <c r="M40" s="135">
        <f>IF($F40="","",MIN($K40*$L40/365,($F40*(1-$H$3/100))-$G40))</f>
        <v/>
      </c>
      <c r="N40" s="135">
        <f>IF($F40="","",$G40+$M40)</f>
        <v/>
      </c>
      <c r="O40" s="135">
        <f>IF($F40="","",$F40-$N40)</f>
        <v/>
      </c>
      <c r="P40" s="136">
        <f>IF($F40="","",IFERROR(VLOOKUP($D40,$W$7:$X$12,2,0),""))</f>
        <v/>
      </c>
      <c r="Q40" s="135">
        <f>IF($F40="","",IF(AND($E40&gt;=$B$3,$E40&lt;=$F$3),$F40,0))</f>
        <v/>
      </c>
      <c r="R40" s="135">
        <f>IF($F40="","",IF(AND($E40&gt;=$B$3,$E40&gt;$F$3),$F40,0))</f>
        <v/>
      </c>
    </row>
    <row r="41" ht="15" customHeight="1" s="90">
      <c r="A41" s="130">
        <f>IF($F41="","",35)</f>
        <v/>
      </c>
      <c r="B41" s="131" t="n"/>
      <c r="C41" s="131" t="n"/>
      <c r="D41" s="131" t="n"/>
      <c r="E41" s="132" t="n"/>
      <c r="F41" s="133" t="n"/>
      <c r="G41" s="133" t="n"/>
      <c r="H41" s="132" t="n"/>
      <c r="I41" s="133" t="n"/>
      <c r="J41" s="134">
        <f>IF($F41="","",IFERROR(VLOOKUP($C41,$T$7:$U$12,2,0),""))</f>
        <v/>
      </c>
      <c r="K41" s="135">
        <f>IF($F41="","",($F41*(1-$H$3/100))/$J41)</f>
        <v/>
      </c>
      <c r="L41" s="134">
        <f>IF($F41="","",MIN(366,MAX(0,IF($H41="",$D$3,$H41)-MAX($E41,$B$3)+1)))</f>
        <v/>
      </c>
      <c r="M41" s="135">
        <f>IF($F41="","",MIN($K41*$L41/365,($F41*(1-$H$3/100))-$G41))</f>
        <v/>
      </c>
      <c r="N41" s="135">
        <f>IF($F41="","",$G41+$M41)</f>
        <v/>
      </c>
      <c r="O41" s="135">
        <f>IF($F41="","",$F41-$N41)</f>
        <v/>
      </c>
      <c r="P41" s="136">
        <f>IF($F41="","",IFERROR(VLOOKUP($D41,$W$7:$X$12,2,0),""))</f>
        <v/>
      </c>
      <c r="Q41" s="135">
        <f>IF($F41="","",IF(AND($E41&gt;=$B$3,$E41&lt;=$F$3),$F41,0))</f>
        <v/>
      </c>
      <c r="R41" s="135">
        <f>IF($F41="","",IF(AND($E41&gt;=$B$3,$E41&gt;$F$3),$F41,0))</f>
        <v/>
      </c>
    </row>
    <row r="42" ht="15" customHeight="1" s="90">
      <c r="A42" s="130">
        <f>IF($F42="","",36)</f>
        <v/>
      </c>
      <c r="B42" s="131" t="n"/>
      <c r="C42" s="131" t="n"/>
      <c r="D42" s="131" t="n"/>
      <c r="E42" s="132" t="n"/>
      <c r="F42" s="133" t="n"/>
      <c r="G42" s="133" t="n"/>
      <c r="H42" s="132" t="n"/>
      <c r="I42" s="133" t="n"/>
      <c r="J42" s="134">
        <f>IF($F42="","",IFERROR(VLOOKUP($C42,$T$7:$U$12,2,0),""))</f>
        <v/>
      </c>
      <c r="K42" s="135">
        <f>IF($F42="","",($F42*(1-$H$3/100))/$J42)</f>
        <v/>
      </c>
      <c r="L42" s="134">
        <f>IF($F42="","",MIN(366,MAX(0,IF($H42="",$D$3,$H42)-MAX($E42,$B$3)+1)))</f>
        <v/>
      </c>
      <c r="M42" s="135">
        <f>IF($F42="","",MIN($K42*$L42/365,($F42*(1-$H$3/100))-$G42))</f>
        <v/>
      </c>
      <c r="N42" s="135">
        <f>IF($F42="","",$G42+$M42)</f>
        <v/>
      </c>
      <c r="O42" s="135">
        <f>IF($F42="","",$F42-$N42)</f>
        <v/>
      </c>
      <c r="P42" s="136">
        <f>IF($F42="","",IFERROR(VLOOKUP($D42,$W$7:$X$12,2,0),""))</f>
        <v/>
      </c>
      <c r="Q42" s="135">
        <f>IF($F42="","",IF(AND($E42&gt;=$B$3,$E42&lt;=$F$3),$F42,0))</f>
        <v/>
      </c>
      <c r="R42" s="135">
        <f>IF($F42="","",IF(AND($E42&gt;=$B$3,$E42&gt;$F$3),$F42,0))</f>
        <v/>
      </c>
    </row>
    <row r="43" ht="15" customHeight="1" s="90">
      <c r="A43" s="130">
        <f>IF($F43="","",37)</f>
        <v/>
      </c>
      <c r="B43" s="131" t="n"/>
      <c r="C43" s="131" t="n"/>
      <c r="D43" s="131" t="n"/>
      <c r="E43" s="132" t="n"/>
      <c r="F43" s="133" t="n"/>
      <c r="G43" s="133" t="n"/>
      <c r="H43" s="132" t="n"/>
      <c r="I43" s="133" t="n"/>
      <c r="J43" s="134">
        <f>IF($F43="","",IFERROR(VLOOKUP($C43,$T$7:$U$12,2,0),""))</f>
        <v/>
      </c>
      <c r="K43" s="135">
        <f>IF($F43="","",($F43*(1-$H$3/100))/$J43)</f>
        <v/>
      </c>
      <c r="L43" s="134">
        <f>IF($F43="","",MIN(366,MAX(0,IF($H43="",$D$3,$H43)-MAX($E43,$B$3)+1)))</f>
        <v/>
      </c>
      <c r="M43" s="135">
        <f>IF($F43="","",MIN($K43*$L43/365,($F43*(1-$H$3/100))-$G43))</f>
        <v/>
      </c>
      <c r="N43" s="135">
        <f>IF($F43="","",$G43+$M43)</f>
        <v/>
      </c>
      <c r="O43" s="135">
        <f>IF($F43="","",$F43-$N43)</f>
        <v/>
      </c>
      <c r="P43" s="136">
        <f>IF($F43="","",IFERROR(VLOOKUP($D43,$W$7:$X$12,2,0),""))</f>
        <v/>
      </c>
      <c r="Q43" s="135">
        <f>IF($F43="","",IF(AND($E43&gt;=$B$3,$E43&lt;=$F$3),$F43,0))</f>
        <v/>
      </c>
      <c r="R43" s="135">
        <f>IF($F43="","",IF(AND($E43&gt;=$B$3,$E43&gt;$F$3),$F43,0))</f>
        <v/>
      </c>
    </row>
    <row r="44" ht="15" customHeight="1" s="90">
      <c r="A44" s="130">
        <f>IF($F44="","",38)</f>
        <v/>
      </c>
      <c r="B44" s="131" t="n"/>
      <c r="C44" s="131" t="n"/>
      <c r="D44" s="131" t="n"/>
      <c r="E44" s="132" t="n"/>
      <c r="F44" s="133" t="n"/>
      <c r="G44" s="133" t="n"/>
      <c r="H44" s="132" t="n"/>
      <c r="I44" s="133" t="n"/>
      <c r="J44" s="134">
        <f>IF($F44="","",IFERROR(VLOOKUP($C44,$T$7:$U$12,2,0),""))</f>
        <v/>
      </c>
      <c r="K44" s="135">
        <f>IF($F44="","",($F44*(1-$H$3/100))/$J44)</f>
        <v/>
      </c>
      <c r="L44" s="134">
        <f>IF($F44="","",MIN(366,MAX(0,IF($H44="",$D$3,$H44)-MAX($E44,$B$3)+1)))</f>
        <v/>
      </c>
      <c r="M44" s="135">
        <f>IF($F44="","",MIN($K44*$L44/365,($F44*(1-$H$3/100))-$G44))</f>
        <v/>
      </c>
      <c r="N44" s="135">
        <f>IF($F44="","",$G44+$M44)</f>
        <v/>
      </c>
      <c r="O44" s="135">
        <f>IF($F44="","",$F44-$N44)</f>
        <v/>
      </c>
      <c r="P44" s="136">
        <f>IF($F44="","",IFERROR(VLOOKUP($D44,$W$7:$X$12,2,0),""))</f>
        <v/>
      </c>
      <c r="Q44" s="135">
        <f>IF($F44="","",IF(AND($E44&gt;=$B$3,$E44&lt;=$F$3),$F44,0))</f>
        <v/>
      </c>
      <c r="R44" s="135">
        <f>IF($F44="","",IF(AND($E44&gt;=$B$3,$E44&gt;$F$3),$F44,0))</f>
        <v/>
      </c>
    </row>
    <row r="45" ht="15" customHeight="1" s="90">
      <c r="A45" s="130">
        <f>IF($F45="","",39)</f>
        <v/>
      </c>
      <c r="B45" s="131" t="n"/>
      <c r="C45" s="131" t="n"/>
      <c r="D45" s="131" t="n"/>
      <c r="E45" s="132" t="n"/>
      <c r="F45" s="133" t="n"/>
      <c r="G45" s="133" t="n"/>
      <c r="H45" s="132" t="n"/>
      <c r="I45" s="133" t="n"/>
      <c r="J45" s="134">
        <f>IF($F45="","",IFERROR(VLOOKUP($C45,$T$7:$U$12,2,0),""))</f>
        <v/>
      </c>
      <c r="K45" s="135">
        <f>IF($F45="","",($F45*(1-$H$3/100))/$J45)</f>
        <v/>
      </c>
      <c r="L45" s="134">
        <f>IF($F45="","",MIN(366,MAX(0,IF($H45="",$D$3,$H45)-MAX($E45,$B$3)+1)))</f>
        <v/>
      </c>
      <c r="M45" s="135">
        <f>IF($F45="","",MIN($K45*$L45/365,($F45*(1-$H$3/100))-$G45))</f>
        <v/>
      </c>
      <c r="N45" s="135">
        <f>IF($F45="","",$G45+$M45)</f>
        <v/>
      </c>
      <c r="O45" s="135">
        <f>IF($F45="","",$F45-$N45)</f>
        <v/>
      </c>
      <c r="P45" s="136">
        <f>IF($F45="","",IFERROR(VLOOKUP($D45,$W$7:$X$12,2,0),""))</f>
        <v/>
      </c>
      <c r="Q45" s="135">
        <f>IF($F45="","",IF(AND($E45&gt;=$B$3,$E45&lt;=$F$3),$F45,0))</f>
        <v/>
      </c>
      <c r="R45" s="135">
        <f>IF($F45="","",IF(AND($E45&gt;=$B$3,$E45&gt;$F$3),$F45,0))</f>
        <v/>
      </c>
    </row>
    <row r="46" ht="15" customHeight="1" s="90">
      <c r="A46" s="130">
        <f>IF($F46="","",40)</f>
        <v/>
      </c>
      <c r="B46" s="131" t="n"/>
      <c r="C46" s="131" t="n"/>
      <c r="D46" s="131" t="n"/>
      <c r="E46" s="132" t="n"/>
      <c r="F46" s="133" t="n"/>
      <c r="G46" s="133" t="n"/>
      <c r="H46" s="132" t="n"/>
      <c r="I46" s="133" t="n"/>
      <c r="J46" s="134">
        <f>IF($F46="","",IFERROR(VLOOKUP($C46,$T$7:$U$12,2,0),""))</f>
        <v/>
      </c>
      <c r="K46" s="135">
        <f>IF($F46="","",($F46*(1-$H$3/100))/$J46)</f>
        <v/>
      </c>
      <c r="L46" s="134">
        <f>IF($F46="","",MIN(366,MAX(0,IF($H46="",$D$3,$H46)-MAX($E46,$B$3)+1)))</f>
        <v/>
      </c>
      <c r="M46" s="135">
        <f>IF($F46="","",MIN($K46*$L46/365,($F46*(1-$H$3/100))-$G46))</f>
        <v/>
      </c>
      <c r="N46" s="135">
        <f>IF($F46="","",$G46+$M46)</f>
        <v/>
      </c>
      <c r="O46" s="135">
        <f>IF($F46="","",$F46-$N46)</f>
        <v/>
      </c>
      <c r="P46" s="136">
        <f>IF($F46="","",IFERROR(VLOOKUP($D46,$W$7:$X$12,2,0),""))</f>
        <v/>
      </c>
      <c r="Q46" s="135">
        <f>IF($F46="","",IF(AND($E46&gt;=$B$3,$E46&lt;=$F$3),$F46,0))</f>
        <v/>
      </c>
      <c r="R46" s="135">
        <f>IF($F46="","",IF(AND($E46&gt;=$B$3,$E46&gt;$F$3),$F46,0))</f>
        <v/>
      </c>
    </row>
    <row r="48" ht="15" customHeight="1" s="90">
      <c r="A48" s="139" t="inlineStr">
        <is>
          <t>Examples in rows 7–8 — overwrite with your assets.</t>
        </is>
      </c>
    </row>
  </sheetData>
  <dataValidations count="2">
    <dataValidation sqref="C7:C46" showDropDown="0" showInputMessage="0" showErrorMessage="0" allowBlank="1" type="list" errorStyle="stop" operator="between">
      <formula1>$T$7:$T$12</formula1>
      <formula2>0</formula2>
    </dataValidation>
    <dataValidation sqref="D7:D46" showDropDown="0" showInputMessage="0" showErrorMessage="0" allowBlank="1" type="list" errorStyle="stop" operator="between">
      <formula1>$W$7:$W$12</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1E3A8A"/>
    <outlinePr summaryBelow="1" summaryRight="1"/>
    <pageSetUpPr fitToPage="0"/>
  </sheetPr>
  <dimension ref="A1:H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4" customWidth="1" style="89" min="1" max="1"/>
    <col width="8" customWidth="1" style="89" min="2" max="2"/>
    <col width="14" customWidth="1" style="89" min="3" max="5"/>
    <col width="15" customWidth="1" style="89" min="6" max="6"/>
    <col width="13" customWidth="1" style="89" min="7" max="7"/>
    <col width="14" customWidth="1" style="89" min="8" max="8"/>
  </cols>
  <sheetData>
    <row r="1" ht="17.25" customHeight="1" s="90">
      <c r="A1" s="121" t="inlineStr">
        <is>
          <t>Depreciation — Income-tax Act, 1961 (block WDV)</t>
        </is>
      </c>
    </row>
    <row r="2" ht="15" customHeight="1" s="90">
      <c r="A2" s="122">
        <f>Setup!C5</f>
        <v/>
      </c>
      <c r="F2" s="123">
        <f>"AY "&amp;(VALUE(LEFT(Setup!C8,4))+1)&amp;"-"&amp;(VALUE(LEFT(Setup!C8,4))+2)</f>
        <v/>
      </c>
    </row>
    <row r="3" ht="15" customHeight="1" s="90">
      <c r="A3" s="127" t="inlineStr">
        <is>
          <t>Opening WDV (yellow) = closing WDV from last year’s IT return. Additions pull from the Register (180-day rule applied). Figures in Rs.</t>
        </is>
      </c>
    </row>
    <row r="5" ht="15" customHeight="1" s="90">
      <c r="A5" s="129" t="inlineStr">
        <is>
          <t>Block of assets</t>
        </is>
      </c>
      <c r="B5" s="129" t="inlineStr">
        <is>
          <t>Rate</t>
        </is>
      </c>
      <c r="C5" s="129" t="inlineStr">
        <is>
          <t>Opening WDV</t>
        </is>
      </c>
      <c r="D5" s="129" t="inlineStr">
        <is>
          <t>Additions ≥180d</t>
        </is>
      </c>
      <c r="E5" s="129" t="inlineStr">
        <is>
          <t>Additions &lt;180d</t>
        </is>
      </c>
      <c r="F5" s="129" t="inlineStr">
        <is>
          <t>Sale / realisation</t>
        </is>
      </c>
      <c r="G5" s="129" t="inlineStr">
        <is>
          <t>Dep for year</t>
        </is>
      </c>
      <c r="H5" s="129" t="inlineStr">
        <is>
          <t>Closing WDV</t>
        </is>
      </c>
    </row>
    <row r="6" ht="15" customHeight="1" s="90">
      <c r="A6" s="140">
        <f>FAR!$W$7</f>
        <v/>
      </c>
      <c r="B6" s="136">
        <f>FAR!$X$7</f>
        <v/>
      </c>
      <c r="C6" s="141" t="n">
        <v>4000000</v>
      </c>
      <c r="D6" s="135">
        <f>SUMIFS(FAR!$Q$7:$Q$46,FAR!$D$7:$D$46,$A6)</f>
        <v/>
      </c>
      <c r="E6" s="135">
        <f>SUMIFS(FAR!$R$7:$R$46,FAR!$D$7:$D$46,$A6)</f>
        <v/>
      </c>
      <c r="F6" s="135">
        <f>SUMIFS(FAR!$I$7:$I$46,FAR!$D$7:$D$46,$A6,FAR!$H$7:$H$46,"&lt;&gt;")</f>
        <v/>
      </c>
      <c r="G6" s="135">
        <f>MAX(0,($C6+$D6-$F6)*$B6)+$E6*$B6/2</f>
        <v/>
      </c>
      <c r="H6" s="135">
        <f>MAX(0,$C6+$D6+$E6-$F6-$G6)</f>
        <v/>
      </c>
    </row>
    <row r="7" ht="15" customHeight="1" s="90">
      <c r="A7" s="140">
        <f>FAR!$W$8</f>
        <v/>
      </c>
      <c r="B7" s="136">
        <f>FAR!$X$8</f>
        <v/>
      </c>
      <c r="C7" s="141" t="n">
        <v>0</v>
      </c>
      <c r="D7" s="135">
        <f>SUMIFS(FAR!$Q$7:$Q$46,FAR!$D$7:$D$46,$A7)</f>
        <v/>
      </c>
      <c r="E7" s="135">
        <f>SUMIFS(FAR!$R$7:$R$46,FAR!$D$7:$D$46,$A7)</f>
        <v/>
      </c>
      <c r="F7" s="135">
        <f>SUMIFS(FAR!$I$7:$I$46,FAR!$D$7:$D$46,$A7,FAR!$H$7:$H$46,"&lt;&gt;")</f>
        <v/>
      </c>
      <c r="G7" s="135">
        <f>MAX(0,($C7+$D7-$F7)*$B7)+$E7*$B7/2</f>
        <v/>
      </c>
      <c r="H7" s="135">
        <f>MAX(0,$C7+$D7+$E7-$F7-$G7)</f>
        <v/>
      </c>
    </row>
    <row r="8" ht="15" customHeight="1" s="90">
      <c r="A8" s="140">
        <f>FAR!$W$9</f>
        <v/>
      </c>
      <c r="B8" s="136">
        <f>FAR!$X$9</f>
        <v/>
      </c>
      <c r="C8" s="141" t="n">
        <v>0</v>
      </c>
      <c r="D8" s="135">
        <f>SUMIFS(FAR!$Q$7:$Q$46,FAR!$D$7:$D$46,$A8)</f>
        <v/>
      </c>
      <c r="E8" s="135">
        <f>SUMIFS(FAR!$R$7:$R$46,FAR!$D$7:$D$46,$A8)</f>
        <v/>
      </c>
      <c r="F8" s="135">
        <f>SUMIFS(FAR!$I$7:$I$46,FAR!$D$7:$D$46,$A8,FAR!$H$7:$H$46,"&lt;&gt;")</f>
        <v/>
      </c>
      <c r="G8" s="135">
        <f>MAX(0,($C8+$D8-$F8)*$B8)+$E8*$B8/2</f>
        <v/>
      </c>
      <c r="H8" s="135">
        <f>MAX(0,$C8+$D8+$E8-$F8-$G8)</f>
        <v/>
      </c>
    </row>
    <row r="9" ht="15" customHeight="1" s="90">
      <c r="A9" s="140">
        <f>FAR!$W$10</f>
        <v/>
      </c>
      <c r="B9" s="136">
        <f>FAR!$X$10</f>
        <v/>
      </c>
      <c r="C9" s="141" t="n">
        <v>0</v>
      </c>
      <c r="D9" s="135">
        <f>SUMIFS(FAR!$Q$7:$Q$46,FAR!$D$7:$D$46,$A9)</f>
        <v/>
      </c>
      <c r="E9" s="135">
        <f>SUMIFS(FAR!$R$7:$R$46,FAR!$D$7:$D$46,$A9)</f>
        <v/>
      </c>
      <c r="F9" s="135">
        <f>SUMIFS(FAR!$I$7:$I$46,FAR!$D$7:$D$46,$A9,FAR!$H$7:$H$46,"&lt;&gt;")</f>
        <v/>
      </c>
      <c r="G9" s="135">
        <f>MAX(0,($C9+$D9-$F9)*$B9)+$E9*$B9/2</f>
        <v/>
      </c>
      <c r="H9" s="135">
        <f>MAX(0,$C9+$D9+$E9-$F9-$G9)</f>
        <v/>
      </c>
    </row>
    <row r="10" ht="15" customHeight="1" s="90">
      <c r="A10" s="140">
        <f>FAR!$W$11</f>
        <v/>
      </c>
      <c r="B10" s="136">
        <f>FAR!$X$11</f>
        <v/>
      </c>
      <c r="C10" s="141" t="n">
        <v>0</v>
      </c>
      <c r="D10" s="135">
        <f>SUMIFS(FAR!$Q$7:$Q$46,FAR!$D$7:$D$46,$A10)</f>
        <v/>
      </c>
      <c r="E10" s="135">
        <f>SUMIFS(FAR!$R$7:$R$46,FAR!$D$7:$D$46,$A10)</f>
        <v/>
      </c>
      <c r="F10" s="135">
        <f>SUMIFS(FAR!$I$7:$I$46,FAR!$D$7:$D$46,$A10,FAR!$H$7:$H$46,"&lt;&gt;")</f>
        <v/>
      </c>
      <c r="G10" s="135">
        <f>MAX(0,($C10+$D10-$F10)*$B10)+$E10*$B10/2</f>
        <v/>
      </c>
      <c r="H10" s="135">
        <f>MAX(0,$C10+$D10+$E10-$F10-$G10)</f>
        <v/>
      </c>
    </row>
    <row r="11" ht="15" customHeight="1" s="90">
      <c r="A11" s="140">
        <f>FAR!$W$12</f>
        <v/>
      </c>
      <c r="B11" s="136">
        <f>FAR!$X$12</f>
        <v/>
      </c>
      <c r="C11" s="141" t="n">
        <v>0</v>
      </c>
      <c r="D11" s="135">
        <f>SUMIFS(FAR!$Q$7:$Q$46,FAR!$D$7:$D$46,$A11)</f>
        <v/>
      </c>
      <c r="E11" s="135">
        <f>SUMIFS(FAR!$R$7:$R$46,FAR!$D$7:$D$46,$A11)</f>
        <v/>
      </c>
      <c r="F11" s="135">
        <f>SUMIFS(FAR!$I$7:$I$46,FAR!$D$7:$D$46,$A11,FAR!$H$7:$H$46,"&lt;&gt;")</f>
        <v/>
      </c>
      <c r="G11" s="135">
        <f>MAX(0,($C11+$D11-$F11)*$B11)+$E11*$B11/2</f>
        <v/>
      </c>
      <c r="H11" s="135">
        <f>MAX(0,$C11+$D11+$E11-$F11-$G11)</f>
        <v/>
      </c>
    </row>
    <row r="12" ht="15" customHeight="1" s="90">
      <c r="A12" s="140" t="inlineStr">
        <is>
          <t>Total</t>
        </is>
      </c>
      <c r="C12" s="142">
        <f>SUM(C6:C11)</f>
        <v/>
      </c>
      <c r="D12" s="142">
        <f>SUM(D6:D11)</f>
        <v/>
      </c>
      <c r="E12" s="142">
        <f>SUM(E6:E11)</f>
        <v/>
      </c>
      <c r="F12" s="142">
        <f>SUM(F6:F11)</f>
        <v/>
      </c>
      <c r="G12" s="142">
        <f>SUM(G6:G11)</f>
        <v/>
      </c>
      <c r="H12" s="142">
        <f>SUM(H6:H11)</f>
        <v/>
      </c>
    </row>
    <row r="14" ht="15" customHeight="1" s="90">
      <c r="A14" s="139" t="inlineStr">
        <is>
          <t>Note: half depreciation applies where an asset is used for less than 180 days. Where sale proceeds exceed the block’s value, the block ceases and a capital gain/(loss) arises — handle separately.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1E3A8A"/>
    <outlinePr summaryBelow="1" summaryRight="1"/>
    <pageSetUpPr fitToPage="0"/>
  </sheetPr>
  <dimension ref="A1:F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89" min="1" max="1"/>
    <col width="20" customWidth="1" style="89" min="2" max="2"/>
    <col width="16" customWidth="1" style="89" min="3" max="3"/>
    <col width="15" customWidth="1" style="89" min="4" max="4"/>
    <col width="10" customWidth="1" style="89" min="5" max="5"/>
    <col width="16" customWidth="1" style="89" min="6" max="6"/>
  </cols>
  <sheetData>
    <row r="1" ht="17.25" customHeight="1" s="90">
      <c r="A1" s="121" t="inlineStr">
        <is>
          <t>Deferred Tax (AS 22)</t>
        </is>
      </c>
    </row>
    <row r="2" ht="15" customHeight="1" s="90">
      <c r="A2" s="122">
        <f>Setup!C5</f>
        <v/>
      </c>
      <c r="F2" s="123">
        <f>"FY "&amp;Setup!C8</f>
        <v/>
      </c>
    </row>
    <row r="3" ht="15" customHeight="1" s="90">
      <c r="A3" s="124" t="inlineStr">
        <is>
          <t>Tax rate %</t>
        </is>
      </c>
      <c r="B3" s="143" t="n">
        <v>25.168</v>
      </c>
      <c r="C3" s="139" t="inlineStr">
        <is>
          <t>(effective rate incl. surcharge &amp; cess)</t>
        </is>
      </c>
    </row>
    <row r="5" ht="21.75" customHeight="1" s="90">
      <c r="A5" s="129" t="inlineStr">
        <is>
          <t>Timing difference</t>
        </is>
      </c>
      <c r="B5" s="129" t="inlineStr">
        <is>
          <t>Carrying amount — Books (Rs)</t>
        </is>
      </c>
      <c r="C5" s="129" t="inlineStr">
        <is>
          <t>Base — Tax (Rs)</t>
        </is>
      </c>
      <c r="D5" s="129" t="inlineStr">
        <is>
          <t>Difference (Rs)</t>
        </is>
      </c>
      <c r="E5" s="129" t="inlineStr">
        <is>
          <t>Nature</t>
        </is>
      </c>
      <c r="F5" s="129" t="inlineStr">
        <is>
          <t>Deferred tax (Rs)</t>
        </is>
      </c>
    </row>
    <row r="6" ht="15" customHeight="1" s="90">
      <c r="A6" s="140" t="inlineStr">
        <is>
          <t>Depreciation — WDV of block of assets</t>
        </is>
      </c>
      <c r="B6" s="135">
        <f>'Dep-CoAct'!$J$12</f>
        <v/>
      </c>
      <c r="C6" s="135">
        <f>'Dep-IT'!$H$12</f>
        <v/>
      </c>
      <c r="D6" s="135">
        <f>$B6-$C6</f>
        <v/>
      </c>
      <c r="E6" s="144">
        <f>IF($D6&gt;0,"DTL",IF($D6&lt;0,"DTA","-"))</f>
        <v/>
      </c>
      <c r="F6" s="135">
        <f>$D6*$B$3/100</f>
        <v/>
      </c>
    </row>
    <row r="7" ht="15" customHeight="1" s="90">
      <c r="A7" s="131" t="inlineStr">
        <is>
          <t>Provision for doubtful debts</t>
        </is>
      </c>
      <c r="B7" s="141" t="n">
        <v>0</v>
      </c>
      <c r="C7" s="141" t="n">
        <v>0</v>
      </c>
      <c r="D7" s="135">
        <f>$B7-$C7</f>
        <v/>
      </c>
      <c r="E7" s="144">
        <f>IF($D7&gt;0,"DTL",IF($D7&lt;0,"DTA","-"))</f>
        <v/>
      </c>
      <c r="F7" s="135">
        <f>$D7*$B$3/100</f>
        <v/>
      </c>
    </row>
    <row r="8" ht="15" customHeight="1" s="90">
      <c r="A8" s="131" t="inlineStr">
        <is>
          <t>Provision for gratuity / leave (43B / employee benefits)</t>
        </is>
      </c>
      <c r="B8" s="141" t="n">
        <v>0</v>
      </c>
      <c r="C8" s="141" t="n">
        <v>0</v>
      </c>
      <c r="D8" s="135">
        <f>$B8-$C8</f>
        <v/>
      </c>
      <c r="E8" s="144">
        <f>IF($D8&gt;0,"DTL",IF($D8&lt;0,"DTA","-"))</f>
        <v/>
      </c>
      <c r="F8" s="135">
        <f>$D8*$B$3/100</f>
        <v/>
      </c>
    </row>
    <row r="9" ht="15" customHeight="1" s="90">
      <c r="A9" s="131" t="inlineStr">
        <is>
          <t>Expenses disallowed u/s 43B (unpaid statutory dues)</t>
        </is>
      </c>
      <c r="B9" s="141" t="n">
        <v>0</v>
      </c>
      <c r="C9" s="141" t="n">
        <v>0</v>
      </c>
      <c r="D9" s="135">
        <f>$B9-$C9</f>
        <v/>
      </c>
      <c r="E9" s="144">
        <f>IF($D9&gt;0,"DTL",IF($D9&lt;0,"DTA","-"))</f>
        <v/>
      </c>
      <c r="F9" s="135">
        <f>$D9*$B$3/100</f>
        <v/>
      </c>
    </row>
    <row r="10" ht="15" customHeight="1" s="90">
      <c r="A10" s="131" t="inlineStr">
        <is>
          <t>Preliminary / deferred revenue expenditure</t>
        </is>
      </c>
      <c r="B10" s="141" t="n">
        <v>0</v>
      </c>
      <c r="C10" s="141" t="n">
        <v>0</v>
      </c>
      <c r="D10" s="135">
        <f>$B10-$C10</f>
        <v/>
      </c>
      <c r="E10" s="144">
        <f>IF($D10&gt;0,"DTL",IF($D10&lt;0,"DTA","-"))</f>
        <v/>
      </c>
      <c r="F10" s="135">
        <f>$D10*$B$3/100</f>
        <v/>
      </c>
    </row>
    <row r="11" ht="15" customHeight="1" s="90">
      <c r="A11" s="131" t="inlineStr">
        <is>
          <t>Others</t>
        </is>
      </c>
      <c r="B11" s="141" t="n">
        <v>0</v>
      </c>
      <c r="C11" s="141" t="n">
        <v>0</v>
      </c>
      <c r="D11" s="135">
        <f>$B11-$C11</f>
        <v/>
      </c>
      <c r="E11" s="144">
        <f>IF($D11&gt;0,"DTL",IF($D11&lt;0,"DTA","-"))</f>
        <v/>
      </c>
      <c r="F11" s="135">
        <f>$D11*$B$3/100</f>
        <v/>
      </c>
    </row>
    <row r="12" ht="15" customHeight="1" s="90">
      <c r="A12" s="140" t="inlineStr">
        <is>
          <t>Net deferred tax liability / (asset)</t>
        </is>
      </c>
      <c r="D12" s="142">
        <f>SUM(D6:D11)</f>
        <v/>
      </c>
      <c r="F12" s="142">
        <f>SUM(F6:F11)</f>
        <v/>
      </c>
    </row>
    <row r="14" ht="15" customHeight="1" s="90">
      <c r="A14" s="139" t="inlineStr">
        <is>
          <t>A positive net figure is a Deferred Tax Liability; a negative figure is a Deferred Tax Asset. The depreciation line is auto (Companies Act net block vs Income-tax WDV); enter the other timing differences in the yellow cells.</t>
        </is>
      </c>
    </row>
    <row r="16" ht="15" customHeight="1" s="90">
      <c r="A16" s="145" t="inlineStr">
        <is>
          <t>Feeds Note 5 (Deferred tax) — the depreciation timing difference and rate carry into the notes automatically.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tabColor rgb="FF1E3A8A"/>
    <outlinePr summaryBelow="1" summaryRight="1"/>
    <pageSetUpPr fitToPage="0"/>
  </sheetPr>
  <dimension ref="A2:E3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89" min="1" max="1"/>
    <col width="16" customWidth="1" style="89" min="2" max="4"/>
    <col width="40" customWidth="1" style="89" min="5" max="5"/>
  </cols>
  <sheetData>
    <row r="2" ht="17.25" customHeight="1" s="90">
      <c r="A2" s="103" t="inlineStr">
        <is>
          <t>Earnings per share (AS 20) - working</t>
        </is>
      </c>
    </row>
    <row r="3" ht="15" customHeight="1" s="90">
      <c r="A3" s="108" t="inlineStr">
        <is>
          <t>Weighted average by days over the year to the balance sheet date. For bonus/split during or after the year, enter the retrospective factor (e.g. 1:1 bonus = 2). Use the online tool for rights-issue TERP: calcguru.in/eps-calculator-as-20/</t>
        </is>
      </c>
    </row>
    <row r="5" ht="15" customHeight="1" s="90">
      <c r="A5" s="105" t="inlineStr">
        <is>
          <t>Opening equity shares (from Setup, PY closing)</t>
        </is>
      </c>
      <c r="B5" s="110">
        <f>Setup!C23</f>
        <v/>
      </c>
    </row>
    <row r="6" ht="15" customHeight="1" s="90">
      <c r="A6" s="104" t="inlineStr">
        <is>
          <t>Share issues (+) / buy-backs (-) during the year</t>
        </is>
      </c>
    </row>
    <row r="7" ht="26.25" customHeight="1" s="90">
      <c r="A7" s="113" t="inlineStr">
        <is>
          <t>Event date</t>
        </is>
      </c>
      <c r="B7" s="113" t="inlineStr">
        <is>
          <t>Shares (+/-)</t>
        </is>
      </c>
      <c r="C7" s="113" t="inlineStr">
        <is>
          <t>Weighted (auto)</t>
        </is>
      </c>
    </row>
    <row r="8" ht="15" customHeight="1" s="90">
      <c r="A8" s="107" t="n"/>
      <c r="B8" s="109" t="n"/>
      <c r="C8" s="146">
        <f>IF(OR(A8="",B8=0),0,B8*(BSD-A8+1)/(BSD-PBSD))</f>
        <v/>
      </c>
    </row>
    <row r="9" ht="15" customHeight="1" s="90">
      <c r="A9" s="107" t="n"/>
      <c r="B9" s="109" t="n"/>
      <c r="C9" s="146">
        <f>IF(OR(A9="",B9=0),0,B9*(BSD-A9+1)/(BSD-PBSD))</f>
        <v/>
      </c>
    </row>
    <row r="10" ht="15" customHeight="1" s="90">
      <c r="A10" s="107" t="n"/>
      <c r="B10" s="109" t="n"/>
      <c r="C10" s="146">
        <f>IF(OR(A10="",B10=0),0,B10*(BSD-A10+1)/(BSD-PBSD))</f>
        <v/>
      </c>
    </row>
    <row r="11" ht="15" customHeight="1" s="90">
      <c r="A11" s="107" t="n"/>
      <c r="B11" s="109" t="n"/>
      <c r="C11" s="146">
        <f>IF(OR(A11="",B11=0),0,B11*(BSD-A11+1)/(BSD-PBSD))</f>
        <v/>
      </c>
    </row>
    <row r="12" ht="15" customHeight="1" s="90">
      <c r="A12" s="107" t="n"/>
      <c r="B12" s="109" t="n"/>
      <c r="C12" s="146">
        <f>IF(OR(A12="",B12=0),0,B12*(BSD-A12+1)/(BSD-PBSD))</f>
        <v/>
      </c>
    </row>
    <row r="13" ht="15" customHeight="1" s="90">
      <c r="A13" s="107" t="n"/>
      <c r="B13" s="109" t="n"/>
      <c r="C13" s="146">
        <f>IF(OR(A13="",B13=0),0,B13*(BSD-A13+1)/(BSD-PBSD))</f>
        <v/>
      </c>
    </row>
    <row r="14" ht="15" customHeight="1" s="90">
      <c r="A14" s="107" t="n"/>
      <c r="B14" s="109" t="n"/>
      <c r="C14" s="146">
        <f>IF(OR(A14="",B14=0),0,B14*(BSD-A14+1)/(BSD-PBSD))</f>
        <v/>
      </c>
    </row>
    <row r="15" ht="15" customHeight="1" s="90">
      <c r="A15" s="107" t="n"/>
      <c r="B15" s="109" t="n"/>
      <c r="C15" s="146">
        <f>IF(OR(A15="",B15=0),0,B15*(BSD-A15+1)/(BSD-PBSD))</f>
        <v/>
      </c>
    </row>
    <row r="16" ht="15" customHeight="1" s="90">
      <c r="A16" s="105" t="inlineStr">
        <is>
          <t>Bonus / split retrospective factor (1 if none)</t>
        </is>
      </c>
      <c r="B16" s="120" t="n">
        <v>1</v>
      </c>
    </row>
    <row r="17" ht="15" customHeight="1" s="90">
      <c r="A17" s="117" t="inlineStr">
        <is>
          <t>Weighted average number of equity shares - basic</t>
        </is>
      </c>
      <c r="B17" s="147">
        <f>(B5+SUM(C8:C15))*B16</f>
        <v/>
      </c>
    </row>
    <row r="19" ht="15" customHeight="1" s="90">
      <c r="A19" s="105" t="inlineStr">
        <is>
          <t>Net profit after tax (auto from P&amp;L, Rs)</t>
        </is>
      </c>
      <c r="B19" s="148">
        <f>Calc!$B$45</f>
        <v/>
      </c>
    </row>
    <row r="20" ht="15" customHeight="1" s="90">
      <c r="A20" s="105" t="inlineStr">
        <is>
          <t>Less: preference dividend incl tax (Setup)</t>
        </is>
      </c>
      <c r="B20" s="148">
        <f>Setup!C24</f>
        <v/>
      </c>
    </row>
    <row r="21" ht="15" customHeight="1" s="90">
      <c r="A21" s="117" t="inlineStr">
        <is>
          <t>Earnings for basic EPS</t>
        </is>
      </c>
      <c r="B21" s="119">
        <f>B19-B20</f>
        <v/>
      </c>
    </row>
    <row r="22" ht="15" customHeight="1" s="90">
      <c r="A22" s="117" t="inlineStr">
        <is>
          <t>Basic EPS (Rs)</t>
        </is>
      </c>
      <c r="B22" s="149">
        <f>IF(B17=0,0,B21/B17)</f>
        <v/>
      </c>
    </row>
    <row r="24" ht="15" customHeight="1" s="90">
      <c r="A24" s="104" t="inlineStr">
        <is>
          <t>Diluted EPS</t>
        </is>
      </c>
    </row>
    <row r="25" ht="15" customHeight="1" s="90">
      <c r="A25" s="105" t="inlineStr">
        <is>
          <t>Incremental shares from dilutive potentials (options free shares, conversion shares)</t>
        </is>
      </c>
      <c r="B25" s="109" t="n">
        <v>0</v>
      </c>
    </row>
    <row r="26" ht="15" customHeight="1" s="90">
      <c r="A26" s="105" t="inlineStr">
        <is>
          <t>Income adjustment (interest net of tax / pref dividend saved, Rs)</t>
        </is>
      </c>
      <c r="B26" s="109" t="n">
        <v>0</v>
      </c>
    </row>
    <row r="27" ht="15" customHeight="1" s="90">
      <c r="A27" s="117" t="inlineStr">
        <is>
          <t>Diluted EPS (Rs)</t>
        </is>
      </c>
      <c r="B27" s="149">
        <f>IF(B17+B25=0,0,IF(OR(B25=0,(B21+B26)/(B17+B25)&gt;B22),B22,(B21+B26)/(B17+B25)))</f>
        <v/>
      </c>
      <c r="E27" s="108" t="inlineStr">
        <is>
          <t>Anti-dilutive potentials are ignored automatically (diluted never exceeds basic).</t>
        </is>
      </c>
    </row>
    <row r="29" ht="15" customHeight="1" s="90">
      <c r="A29" s="105" t="inlineStr">
        <is>
          <t>Previous year basic EPS (Rs, as restated)</t>
        </is>
      </c>
      <c r="B29" s="120" t="n">
        <v>0</v>
      </c>
    </row>
    <row r="30" ht="15" customHeight="1" s="90">
      <c r="A30" s="105" t="inlineStr">
        <is>
          <t>Previous year diluted EPS (Rs)</t>
        </is>
      </c>
      <c r="B30" s="120" t="n">
        <v>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B91C1C"/>
    <outlinePr summaryBelow="1" summaryRight="1"/>
    <pageSetUpPr fitToPage="1"/>
  </sheetPr>
  <dimension ref="B2:D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9" min="1" max="1"/>
    <col width="62" customWidth="1" style="89" min="2" max="2"/>
    <col width="16" customWidth="1" style="89" min="3" max="3"/>
    <col width="14" customWidth="1" style="89" min="4" max="4"/>
  </cols>
  <sheetData>
    <row r="2" ht="17.25" customHeight="1" s="90">
      <c r="B2" s="103" t="inlineStr">
        <is>
          <t>Checks - every row must PASS before you print</t>
        </is>
      </c>
    </row>
    <row r="4" ht="15" customHeight="1" s="90">
      <c r="B4" s="113" t="inlineStr">
        <is>
          <t>Check</t>
        </is>
      </c>
      <c r="C4" s="113" t="inlineStr">
        <is>
          <t>Value</t>
        </is>
      </c>
      <c r="D4" s="113" t="inlineStr">
        <is>
          <t>Status</t>
        </is>
      </c>
    </row>
    <row r="5" ht="15" customHeight="1" s="90">
      <c r="B5" s="111" t="inlineStr">
        <is>
          <t>Trial balance CY balances (Dr = Cr)</t>
        </is>
      </c>
      <c r="C5" s="146">
        <f>TB!B227</f>
        <v/>
      </c>
      <c r="D5" s="114">
        <f>IF(ROUND(ABS(C5),2)&lt;=0.01,"PASS","CHECK")</f>
        <v/>
      </c>
    </row>
    <row r="6" ht="15" customHeight="1" s="90">
      <c r="B6" s="111" t="inlineStr">
        <is>
          <t>Trial balance PY balances (Dr = Cr)</t>
        </is>
      </c>
      <c r="C6" s="146">
        <f>TB!D227</f>
        <v/>
      </c>
      <c r="D6" s="114">
        <f>IF(ROUND(ABS(C6),2)&lt;=0.01,"PASS","CHECK")</f>
        <v/>
      </c>
    </row>
    <row r="7" ht="15" customHeight="1" s="90">
      <c r="B7" s="111" t="inlineStr">
        <is>
          <t>All TB rows with amounts are mapped</t>
        </is>
      </c>
      <c r="C7" s="146">
        <f>TB!B228</f>
        <v/>
      </c>
      <c r="D7" s="114">
        <f>IF(ROUND(ABS(C7),2)&lt;=0.01,"PASS","CHECK")</f>
        <v/>
      </c>
    </row>
    <row r="8" ht="15" customHeight="1" s="90">
      <c r="B8" s="111" t="inlineStr">
        <is>
          <t>Balance sheet balances - current year</t>
        </is>
      </c>
      <c r="C8" s="146">
        <f>BS!D42</f>
        <v/>
      </c>
      <c r="D8" s="114">
        <f>IF(ROUND(ABS(C8),2)&lt;=0.01,"PASS","CHECK")</f>
        <v/>
      </c>
    </row>
    <row r="9" ht="15" customHeight="1" s="90">
      <c r="B9" s="111" t="inlineStr">
        <is>
          <t>Balance sheet balances - previous year</t>
        </is>
      </c>
      <c r="C9" s="146">
        <f>BS!E42</f>
        <v/>
      </c>
      <c r="D9" s="114">
        <f>IF(ROUND(ABS(C9),2)&lt;=0.01,"PASS","CHECK")</f>
        <v/>
      </c>
    </row>
    <row r="10" ht="15" customHeight="1" s="90">
      <c r="B10" s="111" t="inlineStr">
        <is>
          <t>Borrowings grid ties to TB long-term borrowings</t>
        </is>
      </c>
      <c r="C10" s="146">
        <f>Borrowings!I20</f>
        <v/>
      </c>
      <c r="D10" s="114">
        <f>IF(ROUND(ABS(C10),2)&lt;=0.01,"PASS","CHECK")</f>
        <v/>
      </c>
    </row>
    <row r="11" ht="15" customHeight="1" s="90">
      <c r="B11" s="111" t="inlineStr">
        <is>
          <t>Trade receivables ageing ties to the note total</t>
        </is>
      </c>
      <c r="C11" s="146">
        <f>'Notes-BS'!H171</f>
        <v/>
      </c>
      <c r="D11" s="114">
        <f>IF(ROUND(ABS(C11),2)&lt;=0.01,"PASS","CHECK")</f>
        <v/>
      </c>
    </row>
    <row r="12" ht="15" customHeight="1" s="90">
      <c r="B12" s="111" t="inlineStr">
        <is>
          <t>Trade payables ageing ties to the note total</t>
        </is>
      </c>
      <c r="C12" s="146">
        <f>'Notes-BS'!G82</f>
        <v/>
      </c>
      <c r="D12" s="114">
        <f>IF(ROUND(ABS(C12),2)&lt;=0.01,"PASS","CHECK")</f>
        <v/>
      </c>
    </row>
    <row r="13" ht="15" customHeight="1" s="90">
      <c r="B13" s="111" t="inlineStr">
        <is>
          <t>PPE (Companies Act) net block ties to TB PPE</t>
        </is>
      </c>
      <c r="C13" s="146">
        <f>IF('Dep-CoAct'!J12=0,0,'Dep-CoAct'!J12-Calc!$B$13)</f>
        <v/>
      </c>
      <c r="D13" s="114">
        <f>IF(ROUND(ABS(C13),2)&lt;=0.01,"PASS","CHECK")</f>
        <v/>
      </c>
    </row>
    <row r="14" ht="15" customHeight="1" s="90">
      <c r="B14" s="111" t="inlineStr">
        <is>
          <t>Share capital note ties to TB</t>
        </is>
      </c>
      <c r="C14" s="146">
        <f>Shareholding!C12</f>
        <v/>
      </c>
      <c r="D14" s="114">
        <f>IF(ROUND(ABS(C14),2)&lt;=0.01,"PASS","CHECK")</f>
        <v/>
      </c>
    </row>
    <row r="15" ht="15" customHeight="1" s="90">
      <c r="B15" s="111" t="inlineStr">
        <is>
          <t>P&amp;L profit equals profit added to reserves</t>
        </is>
      </c>
      <c r="C15" s="146">
        <f>PL!D24-Calc!$B$45/RND</f>
        <v/>
      </c>
      <c r="D15" s="114">
        <f>IF(ROUND(ABS(C15),2)&lt;=0.01,"PASS","CHECK")</f>
        <v/>
      </c>
    </row>
    <row r="16" ht="15" customHeight="1" s="90">
      <c r="B16" s="111" t="inlineStr">
        <is>
          <t>Share reconciliation closing equals Setup shares</t>
        </is>
      </c>
      <c r="C16" s="146">
        <f>Shareholding!C20</f>
        <v/>
      </c>
      <c r="D16" s="114">
        <f>IF(ROUND(ABS(C16),2)&lt;=0.01,"PASS","CHECK")</f>
        <v/>
      </c>
    </row>
    <row r="17" ht="15" customHeight="1" s="90">
      <c r="B17" s="111" t="inlineStr">
        <is>
          <t>Cash flow reconciles to closing cash</t>
        </is>
      </c>
      <c r="C17" s="146">
        <f>CashFlow!C38</f>
        <v/>
      </c>
      <c r="D17" s="114">
        <f>IF(ROUND(ABS(C17),2)&lt;=0.01,"PASS","CHECK")</f>
        <v/>
      </c>
    </row>
    <row r="19" ht="15" customHeight="1" s="90">
      <c r="B19" s="117" t="inlineStr">
        <is>
          <t>All clear?</t>
        </is>
      </c>
      <c r="C19" s="150">
        <f>IF(COUNTIF(D5:D17,"CHECK")=0,"ALL PASS","REVIEW ROWS MARKED CHECK")</f>
        <v/>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13.xml><?xml version="1.0" encoding="utf-8"?>
<worksheet xmlns="http://schemas.openxmlformats.org/spreadsheetml/2006/main">
  <sheetPr filterMode="0">
    <tabColor rgb="FF0F2A4A"/>
    <outlinePr summaryBelow="1" summaryRight="1"/>
    <pageSetUpPr fitToPage="1"/>
  </sheetPr>
  <dimension ref="B2:E5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9" min="1" max="1"/>
    <col width="52" customWidth="1" style="89" min="2" max="2"/>
    <col width="8" customWidth="1" style="89" min="3" max="3"/>
    <col width="17" customWidth="1" style="89" min="4" max="5"/>
  </cols>
  <sheetData>
    <row r="2" ht="17.25" customHeight="1" s="90">
      <c r="B2" s="103" t="inlineStr">
        <is>
          <t>Balance Sheet as at</t>
        </is>
      </c>
      <c r="D2" s="114">
        <f>TEXT(BSD,"dd mmmm yyyy")</f>
        <v/>
      </c>
    </row>
    <row r="3" ht="15" customHeight="1" s="90">
      <c r="B3" s="114">
        <f>Setup!C5</f>
        <v/>
      </c>
      <c r="D3" s="116">
        <f>Setup!C27</f>
        <v/>
      </c>
    </row>
    <row r="4" ht="15" customHeight="1" s="90">
      <c r="B4" s="116">
        <f>"CIN: "&amp;Setup!C6&amp;"   |   "&amp;Setup!C7</f>
        <v/>
      </c>
    </row>
    <row r="5" ht="30" customHeight="1" s="90">
      <c r="B5" s="113" t="inlineStr">
        <is>
          <t>Particulars</t>
        </is>
      </c>
      <c r="C5" s="113" t="inlineStr">
        <is>
          <t>Note</t>
        </is>
      </c>
      <c r="D5" s="113">
        <f>"As at "&amp;TEXT(BSD,"dd mmmm yyyy")</f>
        <v/>
      </c>
      <c r="E5" s="113">
        <f>"As at "&amp;TEXT(PBSD,"dd mmmm yyyy")</f>
        <v/>
      </c>
    </row>
    <row r="6" ht="15" customHeight="1" s="90">
      <c r="B6" s="117" t="inlineStr">
        <is>
          <t>I. EQUITY AND LIABILITIES</t>
        </is>
      </c>
    </row>
    <row r="7" ht="15" customHeight="1" s="90">
      <c r="B7" s="105" t="inlineStr">
        <is>
          <t>1. Shareholders funds</t>
        </is>
      </c>
    </row>
    <row r="8" ht="15" customHeight="1" s="90">
      <c r="B8" s="111" t="inlineStr">
        <is>
          <t xml:space="preserve">    (a) Share capital</t>
        </is>
      </c>
      <c r="C8" s="111" t="n">
        <v>2</v>
      </c>
      <c r="D8" s="146">
        <f>-Calc!$B$2/RND</f>
        <v/>
      </c>
      <c r="E8" s="146">
        <f>-Calc!$C$2/RND</f>
        <v/>
      </c>
    </row>
    <row r="9" ht="15" customHeight="1" s="90">
      <c r="B9" s="111" t="inlineStr">
        <is>
          <t xml:space="preserve">    (b) Reserves and surplus</t>
        </is>
      </c>
      <c r="C9" s="111" t="n">
        <v>3</v>
      </c>
      <c r="D9" s="146">
        <f>(-Calc!$B$3+Calc!$B$45)/RND</f>
        <v/>
      </c>
      <c r="E9" s="146">
        <f>(-Calc!$C$3+Calc!$C$46)/RND</f>
        <v/>
      </c>
    </row>
    <row r="10" ht="15" customHeight="1" s="90">
      <c r="B10" s="105" t="inlineStr">
        <is>
          <t>2. Non-current liabilities</t>
        </is>
      </c>
    </row>
    <row r="11" ht="15" customHeight="1" s="90">
      <c r="B11" s="111" t="inlineStr">
        <is>
          <t xml:space="preserve">    (a) Long-term borrowings</t>
        </is>
      </c>
      <c r="C11" s="111" t="n">
        <v>4</v>
      </c>
      <c r="D11" s="146">
        <f>(-Calc!$B$4-Borrowings!$J$18)/RND</f>
        <v/>
      </c>
      <c r="E11" s="146">
        <f>(-Calc!$C$4-Borrowings!$I$27)/RND</f>
        <v/>
      </c>
    </row>
    <row r="12" ht="15" customHeight="1" s="90">
      <c r="B12" s="111" t="inlineStr">
        <is>
          <t xml:space="preserve">    (b) Deferred tax liabilities (net)</t>
        </is>
      </c>
      <c r="C12" s="111" t="n">
        <v>5</v>
      </c>
      <c r="D12" s="146">
        <f>-Calc!$B$5/RND</f>
        <v/>
      </c>
      <c r="E12" s="146">
        <f>-Calc!$C$5/RND</f>
        <v/>
      </c>
    </row>
    <row r="13" ht="15" customHeight="1" s="90">
      <c r="B13" s="111" t="inlineStr">
        <is>
          <t xml:space="preserve">    (c) Other long-term liabilities</t>
        </is>
      </c>
      <c r="C13" s="111" t="n">
        <v>6</v>
      </c>
      <c r="D13" s="146">
        <f>-Calc!$B$6/RND</f>
        <v/>
      </c>
      <c r="E13" s="146">
        <f>-Calc!$C$6/RND</f>
        <v/>
      </c>
    </row>
    <row r="14" ht="15" customHeight="1" s="90">
      <c r="B14" s="111" t="inlineStr">
        <is>
          <t xml:space="preserve">    (d) Long-term provisions</t>
        </is>
      </c>
      <c r="C14" s="111" t="n">
        <v>7</v>
      </c>
      <c r="D14" s="146">
        <f>-Calc!$B$7/RND</f>
        <v/>
      </c>
      <c r="E14" s="146">
        <f>-Calc!$C$7/RND</f>
        <v/>
      </c>
    </row>
    <row r="15" ht="15" customHeight="1" s="90">
      <c r="B15" s="105" t="inlineStr">
        <is>
          <t>3. Current liabilities</t>
        </is>
      </c>
    </row>
    <row r="16" ht="15" customHeight="1" s="90">
      <c r="B16" s="111" t="inlineStr">
        <is>
          <t xml:space="preserve">    (a) Short-term borrowings (incl current maturities)</t>
        </is>
      </c>
      <c r="C16" s="111" t="n">
        <v>8</v>
      </c>
      <c r="D16" s="146">
        <f>(-Calc!$B$8+Borrowings!$J$18)/RND</f>
        <v/>
      </c>
      <c r="E16" s="146">
        <f>(-Calc!$C$8+Borrowings!$I$27)/RND</f>
        <v/>
      </c>
    </row>
    <row r="17" ht="15" customHeight="1" s="90">
      <c r="B17" s="111" t="inlineStr">
        <is>
          <t xml:space="preserve">    (b) Trade payables</t>
        </is>
      </c>
      <c r="C17" s="111" t="n">
        <v>9</v>
      </c>
      <c r="D17" s="146">
        <f>-(Calc!$B$9+Calc!$B$10)/RND</f>
        <v/>
      </c>
      <c r="E17" s="146">
        <f>-(Calc!$C$9+Calc!$C$10)/RND</f>
        <v/>
      </c>
    </row>
    <row r="18" ht="15" customHeight="1" s="90">
      <c r="B18" s="111" t="n"/>
      <c r="C18" s="111" t="n"/>
      <c r="D18" s="146" t="n"/>
      <c r="E18" s="146" t="n"/>
    </row>
    <row r="19" ht="15" customHeight="1" s="90">
      <c r="B19" s="111" t="inlineStr">
        <is>
          <t xml:space="preserve">    (c) Other current liabilities</t>
        </is>
      </c>
      <c r="C19" s="111" t="n">
        <v>10</v>
      </c>
      <c r="D19" s="146">
        <f>-Calc!$B$11/RND</f>
        <v/>
      </c>
      <c r="E19" s="146">
        <f>-Calc!$C$11/RND</f>
        <v/>
      </c>
    </row>
    <row r="20" ht="15" customHeight="1" s="90">
      <c r="B20" s="111" t="inlineStr">
        <is>
          <t xml:space="preserve">    (d) Short-term provisions</t>
        </is>
      </c>
      <c r="C20" s="111" t="n">
        <v>11</v>
      </c>
      <c r="D20" s="146">
        <f>-Calc!$B$12/RND</f>
        <v/>
      </c>
      <c r="E20" s="146">
        <f>-Calc!$C$12/RND</f>
        <v/>
      </c>
    </row>
    <row r="21" ht="15" customHeight="1" s="90">
      <c r="B21" s="114" t="inlineStr">
        <is>
          <t>TOTAL</t>
        </is>
      </c>
      <c r="D21" s="147">
        <f>SUM(D8:D20)</f>
        <v/>
      </c>
      <c r="E21" s="147">
        <f>SUM(E8:E20)</f>
        <v/>
      </c>
    </row>
    <row r="23" ht="15" customHeight="1" s="90">
      <c r="B23" s="117" t="inlineStr">
        <is>
          <t>II. ASSETS</t>
        </is>
      </c>
    </row>
    <row r="24" ht="15" customHeight="1" s="90">
      <c r="B24" s="105" t="inlineStr">
        <is>
          <t>1. Non-current assets</t>
        </is>
      </c>
    </row>
    <row r="25" ht="15" customHeight="1" s="90">
      <c r="B25" s="111" t="inlineStr">
        <is>
          <t xml:space="preserve">    (a) Property, plant and equipment</t>
        </is>
      </c>
      <c r="C25" s="111" t="n">
        <v>12</v>
      </c>
      <c r="D25" s="146" t="n"/>
      <c r="E25" s="146" t="n"/>
    </row>
    <row r="26" ht="15" customHeight="1" s="90">
      <c r="B26" s="111" t="inlineStr">
        <is>
          <t xml:space="preserve">         (i) Tangible assets</t>
        </is>
      </c>
      <c r="C26" s="111" t="n"/>
      <c r="D26" s="146">
        <f>Calc!$B$13/RND</f>
        <v/>
      </c>
      <c r="E26" s="146">
        <f>Calc!$C$13/RND</f>
        <v/>
      </c>
    </row>
    <row r="27" ht="15" customHeight="1" s="90">
      <c r="B27" s="111" t="inlineStr">
        <is>
          <t xml:space="preserve">         (ii) Intangible assets</t>
        </is>
      </c>
      <c r="C27" s="111" t="n"/>
      <c r="D27" s="146">
        <f>Calc!$B$14/RND</f>
        <v/>
      </c>
      <c r="E27" s="146">
        <f>Calc!$C$14/RND</f>
        <v/>
      </c>
    </row>
    <row r="28" ht="15" customHeight="1" s="90">
      <c r="B28" s="111" t="inlineStr">
        <is>
          <t xml:space="preserve">    (b) Non-current investments</t>
        </is>
      </c>
      <c r="C28" s="111" t="n">
        <v>13</v>
      </c>
      <c r="D28" s="146">
        <f>Calc!$B$17/RND</f>
        <v/>
      </c>
      <c r="E28" s="146">
        <f>Calc!$C$17/RND</f>
        <v/>
      </c>
    </row>
    <row r="29" ht="15" customHeight="1" s="90">
      <c r="B29" s="111" t="inlineStr">
        <is>
          <t xml:space="preserve">    (c) Deferred tax assets (net)</t>
        </is>
      </c>
      <c r="C29" s="111" t="n">
        <v>5</v>
      </c>
      <c r="D29" s="146">
        <f>Calc!$B$18/RND</f>
        <v/>
      </c>
      <c r="E29" s="146">
        <f>Calc!$C$18/RND</f>
        <v/>
      </c>
    </row>
    <row r="30" ht="15" customHeight="1" s="90">
      <c r="B30" s="111" t="inlineStr">
        <is>
          <t xml:space="preserve">    (d) Long-term loans and advances</t>
        </is>
      </c>
      <c r="C30" s="111" t="n">
        <v>14</v>
      </c>
      <c r="D30" s="146">
        <f>Calc!$B$19/RND</f>
        <v/>
      </c>
      <c r="E30" s="146">
        <f>Calc!$C$19/RND</f>
        <v/>
      </c>
    </row>
    <row r="31" ht="15" customHeight="1" s="90">
      <c r="B31" s="111" t="inlineStr">
        <is>
          <t xml:space="preserve">    (e) Other non-current assets</t>
        </is>
      </c>
      <c r="C31" s="111" t="n">
        <v>15</v>
      </c>
      <c r="D31" s="146">
        <f>Calc!$B$20/RND</f>
        <v/>
      </c>
      <c r="E31" s="146">
        <f>Calc!$C$20/RND</f>
        <v/>
      </c>
    </row>
    <row r="32" ht="15" customHeight="1" s="90">
      <c r="B32" s="111" t="n"/>
      <c r="C32" s="111" t="n"/>
      <c r="D32" s="146" t="n"/>
      <c r="E32" s="146" t="n"/>
    </row>
    <row r="33" ht="15" customHeight="1" s="90">
      <c r="B33" s="105" t="inlineStr">
        <is>
          <t>2. Current assets</t>
        </is>
      </c>
    </row>
    <row r="34" ht="15" customHeight="1" s="90">
      <c r="B34" s="111" t="inlineStr">
        <is>
          <t xml:space="preserve">    (a) Current investments</t>
        </is>
      </c>
      <c r="C34" s="111" t="n">
        <v>16</v>
      </c>
      <c r="D34" s="146">
        <f>Calc!$B$21/RND</f>
        <v/>
      </c>
      <c r="E34" s="146">
        <f>Calc!$C$21/RND</f>
        <v/>
      </c>
    </row>
    <row r="35" ht="15" customHeight="1" s="90">
      <c r="B35" s="111" t="inlineStr">
        <is>
          <t xml:space="preserve">    (b) Inventories</t>
        </is>
      </c>
      <c r="C35" s="111" t="n">
        <v>17</v>
      </c>
      <c r="D35" s="146">
        <f>Calc!$B$22/RND</f>
        <v/>
      </c>
      <c r="E35" s="146">
        <f>Calc!$C$22/RND</f>
        <v/>
      </c>
    </row>
    <row r="36" ht="15" customHeight="1" s="90">
      <c r="B36" s="111" t="inlineStr">
        <is>
          <t xml:space="preserve">    (c) Trade receivables</t>
        </is>
      </c>
      <c r="C36" s="111" t="n">
        <v>18</v>
      </c>
      <c r="D36" s="146">
        <f>Calc!$B$23/RND</f>
        <v/>
      </c>
      <c r="E36" s="146">
        <f>Calc!$C$23/RND</f>
        <v/>
      </c>
    </row>
    <row r="37" ht="15" customHeight="1" s="90">
      <c r="B37" s="111" t="inlineStr">
        <is>
          <t xml:space="preserve">    (d) Cash and cash equivalents</t>
        </is>
      </c>
      <c r="C37" s="111" t="n">
        <v>19</v>
      </c>
      <c r="D37" s="146">
        <f>Calc!$B$24/RND</f>
        <v/>
      </c>
      <c r="E37" s="146">
        <f>Calc!$C$24/RND</f>
        <v/>
      </c>
    </row>
    <row r="38" ht="15" customHeight="1" s="90">
      <c r="B38" s="111" t="inlineStr">
        <is>
          <t xml:space="preserve">    (e) Short-term loans and advances</t>
        </is>
      </c>
      <c r="C38" s="111" t="n">
        <v>20</v>
      </c>
      <c r="D38" s="146">
        <f>Calc!$B$25/RND</f>
        <v/>
      </c>
      <c r="E38" s="146">
        <f>Calc!$C$25/RND</f>
        <v/>
      </c>
    </row>
    <row r="39" ht="15" customHeight="1" s="90">
      <c r="B39" s="111" t="inlineStr">
        <is>
          <t xml:space="preserve">    (f) Other current assets</t>
        </is>
      </c>
      <c r="C39" s="111" t="n">
        <v>21</v>
      </c>
      <c r="D39" s="146">
        <f>Calc!$B$26/RND</f>
        <v/>
      </c>
      <c r="E39" s="146">
        <f>Calc!$C$26/RND</f>
        <v/>
      </c>
    </row>
    <row r="40" ht="15" customHeight="1" s="90">
      <c r="B40" s="114" t="inlineStr">
        <is>
          <t>TOTAL</t>
        </is>
      </c>
      <c r="D40" s="147">
        <f>SUM(D25:D39)</f>
        <v/>
      </c>
      <c r="E40" s="147">
        <f>SUM(E25:E39)</f>
        <v/>
      </c>
    </row>
    <row r="42" ht="15" customHeight="1" s="90">
      <c r="B42" s="117" t="inlineStr">
        <is>
          <t>Check: assets minus equity and liabilities (must be zero)</t>
        </is>
      </c>
      <c r="D42" s="151">
        <f>D40-D21</f>
        <v/>
      </c>
      <c r="E42" s="151">
        <f>E40-E21</f>
        <v/>
      </c>
    </row>
    <row r="44" ht="15" customHeight="1" s="90">
      <c r="B44" s="108" t="inlineStr">
        <is>
          <t>Significant accounting policies (Note 1) and the accompanying notes form an integral part of the financial statements.</t>
        </is>
      </c>
    </row>
    <row r="46" ht="15" customHeight="1" s="90">
      <c r="B46" s="111">
        <f>"Certified as per books of account"</f>
        <v/>
      </c>
    </row>
    <row r="47" ht="15" customHeight="1" s="90">
      <c r="B47" s="114">
        <f>"For "&amp;Setup!C30</f>
        <v/>
      </c>
      <c r="D47" s="111">
        <f>"For and on behalf of the board of directors of"</f>
        <v/>
      </c>
      <c r="E47" s="152" t="n"/>
    </row>
    <row r="48" ht="15" customHeight="1" s="90">
      <c r="B48" s="111">
        <f>"Chartered Accountants"</f>
        <v/>
      </c>
      <c r="D48" s="114">
        <f>Setup!C5</f>
        <v/>
      </c>
      <c r="E48" s="152" t="n"/>
    </row>
    <row r="49" ht="15" customHeight="1" s="90">
      <c r="B49" s="111">
        <f>"Firm Registration No. "&amp;Setup!C31</f>
        <v/>
      </c>
    </row>
    <row r="52" ht="15" customHeight="1" s="90">
      <c r="B52" s="114">
        <f>Setup!C32</f>
        <v/>
      </c>
      <c r="D52" s="114">
        <f>Setup!C35</f>
        <v/>
      </c>
      <c r="E52" s="114">
        <f>Setup!C37</f>
        <v/>
      </c>
    </row>
    <row r="53" ht="15" customHeight="1" s="90">
      <c r="B53" s="111">
        <f>Setup!C41</f>
        <v/>
      </c>
      <c r="D53" s="111">
        <f>Setup!C42</f>
        <v/>
      </c>
      <c r="E53" s="111">
        <f>Setup!C43</f>
        <v/>
      </c>
    </row>
    <row r="54" ht="15" customHeight="1" s="90">
      <c r="B54" s="111">
        <f>"Membership No. "&amp;Setup!C33</f>
        <v/>
      </c>
      <c r="D54" s="111">
        <f>"DIN: "&amp;Setup!C36</f>
        <v/>
      </c>
      <c r="E54" s="111">
        <f>"DIN: "&amp;Setup!C38</f>
        <v/>
      </c>
    </row>
    <row r="55" ht="15" customHeight="1" s="90">
      <c r="B55" s="111">
        <f>"UDIN: "&amp;Setup!C34</f>
        <v/>
      </c>
    </row>
    <row r="56" ht="15" customHeight="1" s="90">
      <c r="B56" s="111">
        <f>"Place: "&amp;Setup!C39</f>
        <v/>
      </c>
    </row>
    <row r="57" ht="15" customHeight="1" s="90">
      <c r="B57" s="111">
        <f>"Date: "&amp;Setup!C40</f>
        <v/>
      </c>
    </row>
  </sheetData>
  <mergeCells count="2">
    <mergeCell ref="D48:E48"/>
    <mergeCell ref="D47:E47"/>
  </mergeCell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14.xml><?xml version="1.0" encoding="utf-8"?>
<worksheet xmlns="http://schemas.openxmlformats.org/spreadsheetml/2006/main">
  <sheetPr filterMode="0">
    <tabColor rgb="FF0F2A4A"/>
    <outlinePr summaryBelow="1" summaryRight="1"/>
    <pageSetUpPr fitToPage="1"/>
  </sheetPr>
  <dimension ref="B2:E4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9" min="1" max="1"/>
    <col width="52" customWidth="1" style="89" min="2" max="2"/>
    <col width="8" customWidth="1" style="89" min="3" max="3"/>
    <col width="17" customWidth="1" style="89" min="4" max="5"/>
  </cols>
  <sheetData>
    <row r="2" ht="17.25" customHeight="1" s="90">
      <c r="B2" s="103" t="inlineStr">
        <is>
          <t>Statement of Profit and Loss for the year ended</t>
        </is>
      </c>
      <c r="D2" s="114">
        <f>TEXT(BSD,"dd mmmm yyyy")</f>
        <v/>
      </c>
    </row>
    <row r="3" ht="15" customHeight="1" s="90">
      <c r="B3" s="114">
        <f>Setup!C5</f>
        <v/>
      </c>
      <c r="D3" s="116">
        <f>Setup!C27</f>
        <v/>
      </c>
    </row>
    <row r="4" ht="15" customHeight="1" s="90">
      <c r="B4" s="116">
        <f>"CIN: "&amp;Setup!C6&amp;"   |   "&amp;Setup!C7</f>
        <v/>
      </c>
    </row>
    <row r="5" ht="30" customHeight="1" s="90">
      <c r="B5" s="113" t="inlineStr">
        <is>
          <t>Particulars</t>
        </is>
      </c>
      <c r="C5" s="113" t="inlineStr">
        <is>
          <t>Note</t>
        </is>
      </c>
      <c r="D5" s="113">
        <f>"Year ended "&amp;TEXT(BSD,"dd mmmm yyyy")</f>
        <v/>
      </c>
      <c r="E5" s="113">
        <f>"Year ended "&amp;TEXT(PBSD,"dd mmmm yyyy")</f>
        <v/>
      </c>
    </row>
    <row r="6" ht="15" customHeight="1" s="90">
      <c r="B6" s="111" t="inlineStr">
        <is>
          <t>I. Revenue from operations</t>
        </is>
      </c>
      <c r="C6" s="153" t="n">
        <v>22</v>
      </c>
      <c r="D6" s="146">
        <f>-Calc!$B$27/RND</f>
        <v/>
      </c>
      <c r="E6" s="146">
        <f>-Calc!$C$27/RND</f>
        <v/>
      </c>
    </row>
    <row r="7" ht="15" customHeight="1" s="90">
      <c r="B7" s="111" t="inlineStr">
        <is>
          <t>II. Other income</t>
        </is>
      </c>
      <c r="C7" s="153" t="n">
        <v>23</v>
      </c>
      <c r="D7" s="146">
        <f>-Calc!$B$28/RND</f>
        <v/>
      </c>
      <c r="E7" s="146">
        <f>-Calc!$C$28/RND</f>
        <v/>
      </c>
    </row>
    <row r="8" ht="15" customHeight="1" s="90">
      <c r="B8" s="114" t="inlineStr">
        <is>
          <t>III. Total income (I + II)</t>
        </is>
      </c>
      <c r="D8" s="147">
        <f>D6+D7</f>
        <v/>
      </c>
      <c r="E8" s="147">
        <f>E6+E7</f>
        <v/>
      </c>
    </row>
    <row r="9" ht="15" customHeight="1" s="90">
      <c r="B9" s="105" t="inlineStr">
        <is>
          <t>IV. Expenses</t>
        </is>
      </c>
    </row>
    <row r="10" ht="15" customHeight="1" s="90">
      <c r="B10" s="111" t="inlineStr">
        <is>
          <t xml:space="preserve">    Cost of materials consumed</t>
        </is>
      </c>
      <c r="C10" s="153" t="n">
        <v>24</v>
      </c>
      <c r="D10" s="146">
        <f>Calc!$B$29/RND</f>
        <v/>
      </c>
      <c r="E10" s="146">
        <f>Calc!$C$29/RND</f>
        <v/>
      </c>
    </row>
    <row r="11" ht="15" customHeight="1" s="90">
      <c r="B11" s="111" t="inlineStr">
        <is>
          <t xml:space="preserve">    Purchases of stock-in-trade</t>
        </is>
      </c>
      <c r="D11" s="146">
        <f>Calc!$B$30/RND</f>
        <v/>
      </c>
      <c r="E11" s="146">
        <f>Calc!$C$30/RND</f>
        <v/>
      </c>
    </row>
    <row r="12" ht="15" customHeight="1" s="90">
      <c r="B12" s="111" t="inlineStr">
        <is>
          <t xml:space="preserve">    Changes in inventories of finished goods, WIP and stock-in-trade</t>
        </is>
      </c>
      <c r="D12" s="146">
        <f>Calc!$B$31/RND</f>
        <v/>
      </c>
      <c r="E12" s="146">
        <f>Calc!$C$31/RND</f>
        <v/>
      </c>
    </row>
    <row r="13" ht="15" customHeight="1" s="90">
      <c r="B13" s="111" t="inlineStr">
        <is>
          <t xml:space="preserve">    Employee benefits expense</t>
        </is>
      </c>
      <c r="C13" s="153" t="n">
        <v>25</v>
      </c>
      <c r="D13" s="146">
        <f>Calc!$B$32/RND</f>
        <v/>
      </c>
      <c r="E13" s="146">
        <f>Calc!$C$32/RND</f>
        <v/>
      </c>
    </row>
    <row r="14" ht="15" customHeight="1" s="90">
      <c r="B14" s="111" t="inlineStr">
        <is>
          <t xml:space="preserve">    Finance costs</t>
        </is>
      </c>
      <c r="C14" s="153" t="n">
        <v>26</v>
      </c>
      <c r="D14" s="146">
        <f>Calc!$B$33/RND</f>
        <v/>
      </c>
      <c r="E14" s="146">
        <f>Calc!$C$33/RND</f>
        <v/>
      </c>
    </row>
    <row r="15" ht="15" customHeight="1" s="90">
      <c r="B15" s="111" t="inlineStr">
        <is>
          <t xml:space="preserve">    Depreciation and amortisation expense</t>
        </is>
      </c>
      <c r="C15" s="153" t="n">
        <v>12</v>
      </c>
      <c r="D15" s="146">
        <f>Calc!$B$34/RND</f>
        <v/>
      </c>
      <c r="E15" s="146">
        <f>Calc!$C$34/RND</f>
        <v/>
      </c>
    </row>
    <row r="16" ht="15" customHeight="1" s="90">
      <c r="B16" s="111" t="inlineStr">
        <is>
          <t xml:space="preserve">    Other expenses</t>
        </is>
      </c>
      <c r="C16" s="153" t="n">
        <v>27</v>
      </c>
      <c r="D16" s="146">
        <f>Calc!$B$35/RND</f>
        <v/>
      </c>
      <c r="E16" s="146">
        <f>Calc!$C$35/RND</f>
        <v/>
      </c>
    </row>
    <row r="17" ht="15" customHeight="1" s="90">
      <c r="B17" s="114" t="inlineStr">
        <is>
          <t xml:space="preserve">    Total expenses</t>
        </is>
      </c>
      <c r="D17" s="147">
        <f>SUM(D10:D16)</f>
        <v/>
      </c>
      <c r="E17" s="147">
        <f>SUM(E10:E16)</f>
        <v/>
      </c>
    </row>
    <row r="18" ht="15" customHeight="1" s="90">
      <c r="B18" s="114" t="inlineStr">
        <is>
          <t>V. Profit before exceptional items and tax (III - IV)</t>
        </is>
      </c>
      <c r="D18" s="151">
        <f>D8-D17</f>
        <v/>
      </c>
      <c r="E18" s="151">
        <f>E8-E17</f>
        <v/>
      </c>
    </row>
    <row r="19" ht="15" customHeight="1" s="90">
      <c r="B19" s="111" t="inlineStr">
        <is>
          <t>VI. Exceptional items</t>
        </is>
      </c>
      <c r="D19" s="146">
        <f>Calc!$B$36/RND</f>
        <v/>
      </c>
      <c r="E19" s="146">
        <f>Calc!$C$36/RND</f>
        <v/>
      </c>
    </row>
    <row r="20" ht="15" customHeight="1" s="90">
      <c r="B20" s="114" t="inlineStr">
        <is>
          <t>VII. Profit before tax (V - VI)</t>
        </is>
      </c>
      <c r="D20" s="147">
        <f>D18-D19</f>
        <v/>
      </c>
      <c r="E20" s="147">
        <f>E18-E19</f>
        <v/>
      </c>
    </row>
    <row r="21" ht="15" customHeight="1" s="90">
      <c r="B21" s="105" t="inlineStr">
        <is>
          <t>VIII. Tax expense</t>
        </is>
      </c>
    </row>
    <row r="22" ht="15" customHeight="1" s="90">
      <c r="B22" s="111" t="inlineStr">
        <is>
          <t xml:space="preserve">    (1) Current tax</t>
        </is>
      </c>
      <c r="D22" s="146">
        <f>Calc!$B$37/RND</f>
        <v/>
      </c>
      <c r="E22" s="146">
        <f>Calc!$C$37/RND</f>
        <v/>
      </c>
    </row>
    <row r="23" ht="15" customHeight="1" s="90">
      <c r="B23" s="111" t="inlineStr">
        <is>
          <t xml:space="preserve">    (2) Deferred tax</t>
        </is>
      </c>
      <c r="C23" s="153" t="n">
        <v>5</v>
      </c>
      <c r="D23" s="146">
        <f>Calc!$B$38/RND</f>
        <v/>
      </c>
      <c r="E23" s="146">
        <f>Calc!$C$38/RND</f>
        <v/>
      </c>
    </row>
    <row r="24" ht="15" customHeight="1" s="90">
      <c r="B24" s="114" t="inlineStr">
        <is>
          <t>IX. Profit for the year (VII - VIII)</t>
        </is>
      </c>
      <c r="D24" s="147">
        <f>D20-D22-D23</f>
        <v/>
      </c>
      <c r="E24" s="147">
        <f>E20-E22-E23</f>
        <v/>
      </c>
    </row>
    <row r="26" ht="15" customHeight="1" s="90">
      <c r="B26" s="111" t="inlineStr">
        <is>
          <t>X. Earnings per equity share (Rs): (1) Basic</t>
        </is>
      </c>
      <c r="C26" s="153" t="n">
        <v>28</v>
      </c>
      <c r="D26" s="154">
        <f>EPS!$B$22</f>
        <v/>
      </c>
      <c r="E26" s="154">
        <f>EPS!$B$29</f>
        <v/>
      </c>
    </row>
    <row r="27" ht="15" customHeight="1" s="90">
      <c r="B27" s="111" t="inlineStr">
        <is>
          <t xml:space="preserve">     (2) Diluted</t>
        </is>
      </c>
      <c r="C27" s="153" t="n"/>
      <c r="D27" s="154">
        <f>IF(Setup!C16="Yes","Exempt - SMC",EPS!$B$27)</f>
        <v/>
      </c>
      <c r="E27" s="154">
        <f>IF(Setup!C16="Yes","Exempt - SMC",EPS!$B$30)</f>
        <v/>
      </c>
    </row>
    <row r="29" ht="15" customHeight="1" s="90">
      <c r="B29" s="117" t="inlineStr">
        <is>
          <t>Check: profit here vs profit added to reserves</t>
        </is>
      </c>
      <c r="D29" s="151">
        <f>D24-Calc!$B$45/RND</f>
        <v/>
      </c>
    </row>
    <row r="31" ht="15" customHeight="1" s="90">
      <c r="B31" s="108" t="inlineStr">
        <is>
          <t>Significant accounting policies (Note 1) and the accompanying notes form an integral part of the financial statements.</t>
        </is>
      </c>
    </row>
    <row r="33" ht="15" customHeight="1" s="90">
      <c r="B33" s="111">
        <f>"Certified as per books of account"</f>
        <v/>
      </c>
    </row>
    <row r="34" ht="15" customHeight="1" s="90">
      <c r="B34" s="114">
        <f>"For "&amp;Setup!C30</f>
        <v/>
      </c>
      <c r="D34" s="111">
        <f>"For and on behalf of the board of directors of"</f>
        <v/>
      </c>
      <c r="E34" s="152" t="n"/>
    </row>
    <row r="35" ht="15" customHeight="1" s="90">
      <c r="B35" s="111">
        <f>"Chartered Accountants"</f>
        <v/>
      </c>
      <c r="D35" s="114">
        <f>Setup!C5</f>
        <v/>
      </c>
      <c r="E35" s="152" t="n"/>
    </row>
    <row r="36" ht="15" customHeight="1" s="90">
      <c r="B36" s="111">
        <f>"Firm Registration No. "&amp;Setup!C31</f>
        <v/>
      </c>
    </row>
    <row r="39" ht="15" customHeight="1" s="90">
      <c r="B39" s="114">
        <f>Setup!C32</f>
        <v/>
      </c>
      <c r="D39" s="114">
        <f>Setup!C35</f>
        <v/>
      </c>
      <c r="E39" s="114">
        <f>Setup!C37</f>
        <v/>
      </c>
    </row>
    <row r="40" ht="15" customHeight="1" s="90">
      <c r="B40" s="111">
        <f>Setup!C41</f>
        <v/>
      </c>
      <c r="D40" s="111">
        <f>Setup!C42</f>
        <v/>
      </c>
      <c r="E40" s="111">
        <f>Setup!C43</f>
        <v/>
      </c>
    </row>
    <row r="41" ht="15" customHeight="1" s="90">
      <c r="B41" s="111">
        <f>"Membership No. "&amp;Setup!C33</f>
        <v/>
      </c>
      <c r="D41" s="111">
        <f>"DIN: "&amp;Setup!C36</f>
        <v/>
      </c>
      <c r="E41" s="111">
        <f>"DIN: "&amp;Setup!C38</f>
        <v/>
      </c>
    </row>
    <row r="42" ht="15" customHeight="1" s="90">
      <c r="B42" s="111">
        <f>"UDIN: "&amp;Setup!C34</f>
        <v/>
      </c>
    </row>
    <row r="43" ht="15" customHeight="1" s="90">
      <c r="B43" s="111">
        <f>"Place: "&amp;Setup!C39</f>
        <v/>
      </c>
    </row>
    <row r="44" ht="15" customHeight="1" s="90">
      <c r="B44" s="111">
        <f>"Date: "&amp;Setup!C40</f>
        <v/>
      </c>
    </row>
  </sheetData>
  <mergeCells count="2">
    <mergeCell ref="D34:E34"/>
    <mergeCell ref="D35:E35"/>
  </mergeCell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15.xml><?xml version="1.0" encoding="utf-8"?>
<worksheet xmlns="http://schemas.openxmlformats.org/spreadsheetml/2006/main">
  <sheetPr filterMode="0">
    <tabColor rgb="FF1E3A8A"/>
    <outlinePr summaryBelow="1" summaryRight="1"/>
    <pageSetUpPr fitToPage="1"/>
  </sheetPr>
  <dimension ref="B2:D5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9" min="1" max="1"/>
    <col width="56" customWidth="1" style="89" min="2" max="2"/>
    <col width="17" customWidth="1" style="89" min="3" max="3"/>
    <col width="22" customWidth="1" style="89" min="4" max="4"/>
    <col width="4" customWidth="1" style="89" min="5" max="5"/>
  </cols>
  <sheetData>
    <row r="2" ht="17.25" customHeight="1" s="90">
      <c r="B2" s="103">
        <f>"Cash Flow Statement for the year ended "&amp;TEXT(BSD,"dd mmmm yyyy")&amp;" (AS 3, indirect method) - in rounding units"</f>
        <v/>
      </c>
    </row>
    <row r="3" ht="15" customHeight="1" s="90">
      <c r="B3" s="116">
        <f>IF(Setup!C17="Yes","Required for this company.","Setup says a cash flow statement is NOT required (OPC/small/dormant) - hide or delete this sheet before printing.")</f>
        <v/>
      </c>
    </row>
    <row r="5" ht="15" customHeight="1" s="90">
      <c r="B5" s="117" t="inlineStr">
        <is>
          <t>A. Operating activities</t>
        </is>
      </c>
    </row>
    <row r="6" ht="15" customHeight="1" s="90">
      <c r="B6" s="105" t="inlineStr">
        <is>
          <t>Profit before tax</t>
        </is>
      </c>
      <c r="C6" s="155">
        <f>PL!D20</f>
        <v/>
      </c>
    </row>
    <row r="7" ht="15" customHeight="1" s="90">
      <c r="B7" s="105" t="inlineStr">
        <is>
          <t>Add: depreciation and amortisation</t>
        </is>
      </c>
      <c r="C7" s="146">
        <f>Calc!$B$34/RND</f>
        <v/>
      </c>
    </row>
    <row r="8" ht="15" customHeight="1" s="90">
      <c r="B8" s="105" t="inlineStr">
        <is>
          <t>Add: finance costs</t>
        </is>
      </c>
      <c r="C8" s="146">
        <f>Calc!$B$33/RND</f>
        <v/>
      </c>
    </row>
    <row r="9" ht="15" customHeight="1" s="90">
      <c r="B9" s="105" t="inlineStr">
        <is>
          <t>Less: interest / investment income (enter)</t>
        </is>
      </c>
      <c r="C9" s="156" t="n">
        <v>0</v>
      </c>
    </row>
    <row r="10" ht="15" customHeight="1" s="90">
      <c r="B10" s="117" t="inlineStr">
        <is>
          <t>Operating profit before working capital changes</t>
        </is>
      </c>
      <c r="C10" s="147">
        <f>SUM(C6:C8)-C9</f>
        <v/>
      </c>
    </row>
    <row r="11" ht="15" customHeight="1" s="90">
      <c r="B11" s="105" t="inlineStr">
        <is>
          <t>(Increase)/decrease in inventories</t>
        </is>
      </c>
      <c r="C11" s="146">
        <f>(Calc!$C$22-Calc!$B$22)/RND</f>
        <v/>
      </c>
    </row>
    <row r="12" ht="15" customHeight="1" s="90">
      <c r="B12" s="105" t="inlineStr">
        <is>
          <t>(Increase)/decrease in trade receivables</t>
        </is>
      </c>
      <c r="C12" s="146">
        <f>(Calc!$C$23-Calc!$B$23)/RND</f>
        <v/>
      </c>
    </row>
    <row r="13" ht="15" customHeight="1" s="90">
      <c r="B13" s="105" t="inlineStr">
        <is>
          <t>(Increase)/decrease in loans, advances and other assets</t>
        </is>
      </c>
      <c r="C13" s="146">
        <f>(Calc!$C$25+Calc!$C$26+Calc!$C$19+Calc!$C$20-Calc!$B$25-Calc!$B$26-Calc!$B$19-Calc!$B$20)/RND</f>
        <v/>
      </c>
    </row>
    <row r="14" ht="15" customHeight="1" s="90">
      <c r="B14" s="105" t="inlineStr">
        <is>
          <t>Increase/(decrease) in trade payables</t>
        </is>
      </c>
      <c r="C14" s="146">
        <f>((-Calc!$B$9-Calc!$B$10)-(-Calc!$C$9-Calc!$C$10))/RND</f>
        <v/>
      </c>
    </row>
    <row r="15" ht="15" customHeight="1" s="90">
      <c r="B15" s="105" t="inlineStr">
        <is>
          <t>Increase/(decrease) in other liabilities and provisions</t>
        </is>
      </c>
      <c r="C15" s="146">
        <f>((-Calc!$B$11-Calc!$B$12-Calc!$B$6-Calc!$B$7)-(-Calc!$C$11-Calc!$C$12-Calc!$C$6-Calc!$C$7))/RND</f>
        <v/>
      </c>
    </row>
    <row r="16" ht="15" customHeight="1" s="90">
      <c r="B16" s="117" t="inlineStr">
        <is>
          <t>Cash generated from operations</t>
        </is>
      </c>
      <c r="C16" s="151">
        <f>SUM(C10:C15)</f>
        <v/>
      </c>
    </row>
    <row r="17" ht="15" customHeight="1" s="90">
      <c r="B17" s="105" t="inlineStr">
        <is>
          <t>Less: income taxes paid (enter)</t>
        </is>
      </c>
      <c r="C17" s="156" t="n">
        <v>0</v>
      </c>
    </row>
    <row r="18" ht="15" customHeight="1" s="90">
      <c r="B18" s="117" t="inlineStr">
        <is>
          <t>Net cash from operating activities (A)</t>
        </is>
      </c>
      <c r="C18" s="147">
        <f>C16-C17</f>
        <v/>
      </c>
    </row>
    <row r="20" ht="15" customHeight="1" s="90">
      <c r="B20" s="117" t="inlineStr">
        <is>
          <t>B. Investing activities</t>
        </is>
      </c>
    </row>
    <row r="21" ht="15" customHeight="1" s="90">
      <c r="B21" s="105" t="inlineStr">
        <is>
          <t>Purchase of PPE/intangibles/CWIP (enter as negative)</t>
        </is>
      </c>
      <c r="C21" s="156" t="n">
        <v>0</v>
      </c>
    </row>
    <row r="22" ht="15" customHeight="1" s="90">
      <c r="B22" s="105" t="inlineStr">
        <is>
          <t>Proceeds from sale of PPE (enter)</t>
        </is>
      </c>
      <c r="C22" s="156" t="n">
        <v>0</v>
      </c>
    </row>
    <row r="23" ht="15" customHeight="1" s="90">
      <c r="B23" s="105" t="inlineStr">
        <is>
          <t>(Purchase)/sale of investments - net</t>
        </is>
      </c>
      <c r="C23" s="146">
        <f>(Calc!$C$17+Calc!$C$21-Calc!$B$17-Calc!$B$21)/RND</f>
        <v/>
      </c>
    </row>
    <row r="24" ht="15" customHeight="1" s="90">
      <c r="B24" s="105" t="inlineStr">
        <is>
          <t>Interest / investment income received (enter)</t>
        </is>
      </c>
      <c r="C24" s="156" t="n">
        <v>0</v>
      </c>
    </row>
    <row r="25" ht="15" customHeight="1" s="90">
      <c r="B25" s="117" t="inlineStr">
        <is>
          <t>Net cash used in investing activities (B)</t>
        </is>
      </c>
      <c r="C25" s="147">
        <f>SUM(C21:C24)</f>
        <v/>
      </c>
    </row>
    <row r="27" ht="15" customHeight="1" s="90">
      <c r="B27" s="117" t="inlineStr">
        <is>
          <t>C. Financing activities</t>
        </is>
      </c>
    </row>
    <row r="28" ht="15" customHeight="1" s="90">
      <c r="B28" s="105" t="inlineStr">
        <is>
          <t>Proceeds from issue of shares</t>
        </is>
      </c>
      <c r="C28" s="146">
        <f>((-Calc!$B$2)-(-Calc!$C$2))/RND</f>
        <v/>
      </c>
    </row>
    <row r="29" ht="15" customHeight="1" s="90">
      <c r="B29" s="105" t="inlineStr">
        <is>
          <t>Borrowings raised/(repaid) - net</t>
        </is>
      </c>
      <c r="C29" s="146">
        <f>((-Calc!$B$4-Calc!$B$8)-(-Calc!$C$4-Calc!$C$8))/RND</f>
        <v/>
      </c>
    </row>
    <row r="30" ht="15" customHeight="1" s="90">
      <c r="B30" s="105" t="inlineStr">
        <is>
          <t>Finance costs paid</t>
        </is>
      </c>
      <c r="C30" s="146">
        <f>-Calc!$B$33/RND</f>
        <v/>
      </c>
    </row>
    <row r="31" ht="15" customHeight="1" s="90">
      <c r="B31" s="105" t="inlineStr">
        <is>
          <t>Dividends paid (from Note 3 input)</t>
        </is>
      </c>
      <c r="C31" s="155">
        <f>-'Notes-BS'!C9</f>
        <v/>
      </c>
    </row>
    <row r="32" ht="15" customHeight="1" s="90">
      <c r="B32" s="117" t="inlineStr">
        <is>
          <t>Net cash from financing activities (C)</t>
        </is>
      </c>
      <c r="C32" s="147">
        <f>SUM(C28:C31)</f>
        <v/>
      </c>
    </row>
    <row r="34" ht="15" customHeight="1" s="90">
      <c r="B34" s="117" t="inlineStr">
        <is>
          <t>Net increase/(decrease) in cash (A+B+C)</t>
        </is>
      </c>
      <c r="C34" s="151">
        <f>C18+C25+C32</f>
        <v/>
      </c>
    </row>
    <row r="35" ht="15" customHeight="1" s="90">
      <c r="B35" s="105" t="inlineStr">
        <is>
          <t>Cash and equivalents - opening</t>
        </is>
      </c>
      <c r="C35" s="146">
        <f>Calc!$C$24/RND</f>
        <v/>
      </c>
    </row>
    <row r="36" ht="15" customHeight="1" s="90">
      <c r="B36" s="117" t="inlineStr">
        <is>
          <t>Cash and equivalents - closing (derived)</t>
        </is>
      </c>
      <c r="C36" s="147">
        <f>C34+C35</f>
        <v/>
      </c>
    </row>
    <row r="37" ht="15" customHeight="1" s="90">
      <c r="B37" s="105" t="inlineStr">
        <is>
          <t>Closing cash per balance sheet</t>
        </is>
      </c>
      <c r="C37" s="146">
        <f>Calc!$B$24/RND</f>
        <v/>
      </c>
    </row>
    <row r="38" ht="15" customHeight="1" s="90">
      <c r="B38" s="117" t="inlineStr">
        <is>
          <t>Difference (0 when investing/financing inputs are complete)</t>
        </is>
      </c>
      <c r="C38" s="151">
        <f>C36-C37</f>
        <v/>
      </c>
    </row>
    <row r="40" ht="15" customHeight="1" s="90">
      <c r="B40" s="108" t="inlineStr">
        <is>
          <t>Significant accounting policies (Note 1) and the accompanying notes form an integral part of the financial statements.</t>
        </is>
      </c>
    </row>
    <row r="42" ht="15" customHeight="1" s="90">
      <c r="B42" s="111">
        <f>"Certified as per books of account"</f>
        <v/>
      </c>
    </row>
    <row r="43" ht="15" customHeight="1" s="90">
      <c r="B43" s="114">
        <f>"For "&amp;Setup!C30</f>
        <v/>
      </c>
      <c r="C43" s="111">
        <f>"For and on behalf of the board of directors of"</f>
        <v/>
      </c>
      <c r="D43" s="152" t="n"/>
    </row>
    <row r="44" ht="15" customHeight="1" s="90">
      <c r="B44" s="111">
        <f>"Chartered Accountants"</f>
        <v/>
      </c>
      <c r="C44" s="114">
        <f>Setup!C5</f>
        <v/>
      </c>
      <c r="D44" s="152" t="n"/>
    </row>
    <row r="45" ht="15" customHeight="1" s="90">
      <c r="B45" s="111">
        <f>"Firm Registration No. "&amp;Setup!C31</f>
        <v/>
      </c>
    </row>
    <row r="48" ht="15" customHeight="1" s="90">
      <c r="B48" s="114">
        <f>Setup!C32</f>
        <v/>
      </c>
      <c r="C48" s="114">
        <f>Setup!C35</f>
        <v/>
      </c>
      <c r="D48" s="114">
        <f>Setup!C37</f>
        <v/>
      </c>
    </row>
    <row r="49" ht="15" customHeight="1" s="90">
      <c r="B49" s="111">
        <f>Setup!C41</f>
        <v/>
      </c>
      <c r="C49" s="111">
        <f>Setup!C42</f>
        <v/>
      </c>
      <c r="D49" s="111">
        <f>Setup!C43</f>
        <v/>
      </c>
    </row>
    <row r="50" ht="15" customHeight="1" s="90">
      <c r="B50" s="111">
        <f>"Membership No. "&amp;Setup!C33</f>
        <v/>
      </c>
      <c r="C50" s="111">
        <f>"DIN: "&amp;Setup!C36</f>
        <v/>
      </c>
      <c r="D50" s="111">
        <f>"DIN: "&amp;Setup!C38</f>
        <v/>
      </c>
    </row>
    <row r="51" ht="15" customHeight="1" s="90">
      <c r="B51" s="111">
        <f>"UDIN: "&amp;Setup!C34</f>
        <v/>
      </c>
    </row>
    <row r="52" ht="15" customHeight="1" s="90">
      <c r="B52" s="111">
        <f>"Place: "&amp;Setup!C39</f>
        <v/>
      </c>
    </row>
    <row r="53" ht="15" customHeight="1" s="90">
      <c r="B53" s="111">
        <f>"Date: "&amp;Setup!C40</f>
        <v/>
      </c>
    </row>
  </sheetData>
  <mergeCells count="2">
    <mergeCell ref="C43:D43"/>
    <mergeCell ref="C44:D44"/>
  </mergeCell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16.xml><?xml version="1.0" encoding="utf-8"?>
<worksheet xmlns="http://schemas.openxmlformats.org/spreadsheetml/2006/main">
  <sheetPr filterMode="0">
    <tabColor rgb="FF5A6672"/>
    <outlinePr summaryBelow="1" summaryRight="1"/>
    <pageSetUpPr fitToPage="1"/>
  </sheetPr>
  <dimension ref="B2:B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9" min="1" max="1"/>
    <col width="110" customWidth="1" style="89" min="2" max="2"/>
  </cols>
  <sheetData>
    <row r="2" ht="17.25" customHeight="1" s="90">
      <c r="B2" s="103" t="inlineStr">
        <is>
          <t>Note 1 - Significant Accounting Policies (editable text)</t>
        </is>
      </c>
    </row>
    <row r="3" ht="15" customHeight="1" s="90">
      <c r="B3" s="108" t="inlineStr">
        <is>
          <t>Edit freely, or generate an entity-perfect set with the free CalcGuru Accounting Policies Builder (calcguru.in/accounting-policies-generator/) and paste each paragraph over these rows.</t>
        </is>
      </c>
    </row>
    <row r="5" ht="43.5" customHeight="1" s="90">
      <c r="B5" s="157" t="inlineStr">
        <is>
          <t>1.1 Basis of preparation: These financial statements are prepared on the accrual basis under the historical cost convention, in accordance with the Accounting Standards notified under the Companies (Accounting Standards) Rules, 2021, the Companies Act, 2013 and Schedule III (Division I).</t>
        </is>
      </c>
    </row>
    <row r="7" ht="43.5" customHeight="1" s="90">
      <c r="B7" s="157" t="inlineStr">
        <is>
          <t>1.2 Use of estimates: The preparation of financial statements requires the management to make estimates and assumptions that affect the reported amounts; actual results could differ, and revisions are recognised prospectively.</t>
        </is>
      </c>
    </row>
    <row r="9" ht="43.5" customHeight="1" s="90">
      <c r="B9" s="157" t="inlineStr">
        <is>
          <t>1.3 Property, plant and equipment and depreciation: PPE are stated at cost less accumulated depreciation and impairment. Depreciation is provided on the written down value method over the useful lives prescribed in Schedule II to the Companies Act, 2013.</t>
        </is>
      </c>
    </row>
    <row r="11" ht="43.5" customHeight="1" s="90">
      <c r="B11" s="157" t="inlineStr">
        <is>
          <t>1.4 Inventories: Valued at the lower of cost (FIFO) and net realisable value; finished goods and WIP include an appropriate share of production overheads.</t>
        </is>
      </c>
    </row>
    <row r="13" ht="43.5" customHeight="1" s="90">
      <c r="B13" s="157" t="inlineStr">
        <is>
          <t>1.5 Revenue recognition: Revenue from sale of goods is recognised when significant risks and rewards pass to the buyer, net of returns, discounts and GST; service revenue by stage of completion; interest on a time-proportion basis.</t>
        </is>
      </c>
    </row>
    <row r="15" ht="43.5" customHeight="1" s="90">
      <c r="B15" s="157" t="inlineStr">
        <is>
          <t>1.6 Employee benefits: Short-term benefits are expensed as the service is rendered; contributions to defined contribution schemes are charged as incurred; gratuity is provided as per company policy.</t>
        </is>
      </c>
    </row>
    <row r="17" ht="43.5" customHeight="1" s="90">
      <c r="B17" s="157" t="inlineStr">
        <is>
          <t>1.7 Borrowing costs: Costs attributable to qualifying assets are capitalised to the date of readiness; all other borrowing costs are expensed.</t>
        </is>
      </c>
    </row>
    <row r="19" ht="43.5" customHeight="1" s="90">
      <c r="B19" s="157" t="inlineStr">
        <is>
          <t>1.8 Taxes on income: Current tax per the income-tax law in force; deferred tax on timing differences at enacted or substantively enacted rates; deferred tax assets recognised only where realisation is reasonably or virtually certain.</t>
        </is>
      </c>
    </row>
    <row r="21" ht="43.5" customHeight="1" s="90">
      <c r="B21" s="157" t="inlineStr">
        <is>
          <t>1.9 Provisions and contingencies: Provisions are recognised for present obligations with probable outflow and reliable estimates; contingent liabilities are disclosed and not provided; contingent assets are not recognised.</t>
        </is>
      </c>
    </row>
    <row r="23" ht="43.5" customHeight="1" s="90">
      <c r="B23" s="157" t="inlineStr">
        <is>
          <t>1.10 Earnings per share: Basic EPS uses the weighted average number of equity shares; diluted EPS additionally adjusts for dilutive potential equity shares.</t>
        </is>
      </c>
    </row>
    <row r="25" ht="43.5" customHeight="1" s="90">
      <c r="B25" s="157" t="inlineStr">
        <is>
          <t>(Add or delete policies to match the entity - impairment, foreign currency, investments, MSME dues, cash flow method.)</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17.xml><?xml version="1.0" encoding="utf-8"?>
<worksheet xmlns="http://schemas.openxmlformats.org/spreadsheetml/2006/main">
  <sheetPr filterMode="0">
    <tabColor rgb="FF1E3A8A"/>
    <outlinePr summaryBelow="1" summaryRight="1"/>
    <pageSetUpPr fitToPage="1"/>
  </sheetPr>
  <dimension ref="B2:G4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9" min="1" max="1"/>
    <col width="44" customWidth="1" style="89" min="2" max="2"/>
    <col width="14" customWidth="1" style="89" min="3" max="3"/>
    <col width="12" customWidth="1" style="89" min="4" max="4"/>
    <col width="14" customWidth="1" style="89" min="5" max="5"/>
    <col width="12" customWidth="1" style="89" min="6" max="6"/>
    <col width="14" customWidth="1" style="89" min="7" max="7"/>
  </cols>
  <sheetData>
    <row r="2" ht="17.25" customHeight="1" s="90">
      <c r="B2" s="103" t="inlineStr">
        <is>
          <t>Note 2 - Share capital and shareholding</t>
        </is>
      </c>
    </row>
    <row r="3" ht="15" customHeight="1" s="90">
      <c r="B3" s="114">
        <f>Setup!C5</f>
        <v/>
      </c>
    </row>
    <row r="4" ht="15" customHeight="1" s="90">
      <c r="B4" s="108" t="inlineStr">
        <is>
          <t>Share counts and percentages compute from the Setup share numbers; fill names and share counts in yellow. Amounts in rupees.</t>
        </is>
      </c>
    </row>
    <row r="6" ht="15" customHeight="1" s="90">
      <c r="B6" s="104" t="inlineStr">
        <is>
          <t>(a) Authorised capital</t>
        </is>
      </c>
    </row>
    <row r="7" ht="15" customHeight="1" s="90">
      <c r="B7" s="111">
        <f>TEXT(Setup!C21,"#,##0")&amp;" equity shares of Rs "&amp;TEXT(Setup!C20,"0")&amp;" each"</f>
        <v/>
      </c>
      <c r="C7" s="119">
        <f>Setup!C21*Setup!C20</f>
        <v/>
      </c>
    </row>
    <row r="9" ht="15" customHeight="1" s="90">
      <c r="B9" s="104" t="inlineStr">
        <is>
          <t>(b) Issued, subscribed and fully paid up</t>
        </is>
      </c>
    </row>
    <row r="10" ht="26.25" customHeight="1" s="90">
      <c r="B10" s="113" t="inlineStr">
        <is>
          <t>Particulars</t>
        </is>
      </c>
      <c r="C10" s="113" t="inlineStr">
        <is>
          <t>Current year</t>
        </is>
      </c>
      <c r="D10" s="113" t="inlineStr">
        <is>
          <t>Previous year</t>
        </is>
      </c>
    </row>
    <row r="11" ht="15" customHeight="1" s="90">
      <c r="B11" s="111">
        <f>TEXT(Setup!C22,"#,##0")&amp;" equity shares of Rs "&amp;TEXT(Setup!C20,"0")&amp;" each, fully paid"</f>
        <v/>
      </c>
      <c r="C11" s="119">
        <f>Setup!C22*Setup!C20</f>
        <v/>
      </c>
      <c r="D11" s="119">
        <f>Setup!C23*Setup!C20</f>
        <v/>
      </c>
    </row>
    <row r="12" ht="15" customHeight="1" s="90">
      <c r="B12" s="105" t="inlineStr">
        <is>
          <t>Tie vs TB code SC (0 expected)</t>
        </is>
      </c>
      <c r="C12" s="110">
        <f>Setup!C22*Setup!C20-(-Calc!$B$2)</f>
        <v/>
      </c>
    </row>
    <row r="14" ht="15" customHeight="1" s="90">
      <c r="B14" s="104" t="inlineStr">
        <is>
          <t>(c) Reconciliation of the number of equity shares outstanding</t>
        </is>
      </c>
    </row>
    <row r="15" ht="26.25" customHeight="1" s="90">
      <c r="B15" s="113" t="inlineStr">
        <is>
          <t>Particulars</t>
        </is>
      </c>
      <c r="C15" s="113" t="inlineStr">
        <is>
          <t>CY - No. of shares</t>
        </is>
      </c>
      <c r="D15" s="113" t="inlineStr">
        <is>
          <t>PY - No. of shares</t>
        </is>
      </c>
    </row>
    <row r="16" ht="15" customHeight="1" s="90">
      <c r="B16" s="105" t="inlineStr">
        <is>
          <t>Shares outstanding at the beginning of the year</t>
        </is>
      </c>
      <c r="C16" s="110">
        <f>Setup!C23</f>
        <v/>
      </c>
      <c r="D16" s="158" t="n"/>
    </row>
    <row r="17" ht="15" customHeight="1" s="90">
      <c r="B17" s="105" t="inlineStr">
        <is>
          <t>Add: shares issued during the year</t>
        </is>
      </c>
      <c r="C17" s="158" t="n">
        <v>0</v>
      </c>
      <c r="D17" s="158" t="n">
        <v>0</v>
      </c>
    </row>
    <row r="18" ht="15" customHeight="1" s="90">
      <c r="B18" s="105" t="inlineStr">
        <is>
          <t>Less: shares bought back during the year</t>
        </is>
      </c>
      <c r="C18" s="158" t="n">
        <v>0</v>
      </c>
      <c r="D18" s="158" t="n">
        <v>0</v>
      </c>
    </row>
    <row r="19" ht="15" customHeight="1" s="90">
      <c r="B19" s="117" t="inlineStr">
        <is>
          <t>Shares outstanding at the end of the year</t>
        </is>
      </c>
      <c r="C19" s="118">
        <f>C16+C17-C18</f>
        <v/>
      </c>
      <c r="D19" s="118">
        <f>IF(D16="",Setup!C23,D16+D17-D18)</f>
        <v/>
      </c>
    </row>
    <row r="20" ht="15" customHeight="1" s="90">
      <c r="B20" s="105" t="inlineStr">
        <is>
          <t>Check vs Setup CY shares (0 expected)</t>
        </is>
      </c>
      <c r="C20" s="110">
        <f>C19-Setup!C22</f>
        <v/>
      </c>
    </row>
    <row r="22" ht="15" customHeight="1" s="90">
      <c r="B22" s="104" t="inlineStr">
        <is>
          <t>(d) Terms and rights attached to equity shares</t>
        </is>
      </c>
    </row>
    <row r="23" ht="43.5" customHeight="1" s="90">
      <c r="B23" s="157" t="inlineStr">
        <is>
          <t>The company has a single class of equity shares. Each holder is entitled to one vote per share. In the event of liquidation, holders of equity shares are entitled to the assets of the company remaining after distribution of all preferential amounts, in proportion to their holding.</t>
        </is>
      </c>
      <c r="C23" s="159" t="n"/>
      <c r="D23" s="159" t="n"/>
      <c r="E23" s="159" t="n"/>
      <c r="F23" s="159" t="n"/>
      <c r="G23" s="160" t="n"/>
    </row>
    <row r="25" ht="15" customHeight="1" s="90">
      <c r="B25" s="104" t="inlineStr">
        <is>
          <t>(e) Shareholders holding more than 5% of the equity shares</t>
        </is>
      </c>
    </row>
    <row r="26" ht="26.25" customHeight="1" s="90">
      <c r="B26" s="113" t="inlineStr">
        <is>
          <t>Name of the shareholder</t>
        </is>
      </c>
      <c r="C26" s="113" t="inlineStr">
        <is>
          <t>CY - No. of shares</t>
        </is>
      </c>
      <c r="D26" s="113" t="inlineStr">
        <is>
          <t>CY - % holding</t>
        </is>
      </c>
      <c r="E26" s="113" t="inlineStr">
        <is>
          <t>PY - No. of shares</t>
        </is>
      </c>
      <c r="F26" s="113" t="inlineStr">
        <is>
          <t>PY - % holding</t>
        </is>
      </c>
    </row>
    <row r="27" ht="15" customHeight="1" s="90">
      <c r="B27" s="161" t="n"/>
      <c r="C27" s="158" t="n"/>
      <c r="D27" s="162">
        <f>IF(OR(C27="",Setup!C22=0),"",C27/Setup!C22)</f>
        <v/>
      </c>
      <c r="E27" s="158" t="n"/>
      <c r="F27" s="162">
        <f>IF(OR(E27="",Setup!C23=0),"",E27/Setup!C23)</f>
        <v/>
      </c>
    </row>
    <row r="28" ht="15" customHeight="1" s="90">
      <c r="B28" s="161" t="n"/>
      <c r="C28" s="158" t="n"/>
      <c r="D28" s="162">
        <f>IF(OR(C28="",Setup!C22=0),"",C28/Setup!C22)</f>
        <v/>
      </c>
      <c r="E28" s="158" t="n"/>
      <c r="F28" s="162">
        <f>IF(OR(E28="",Setup!C23=0),"",E28/Setup!C23)</f>
        <v/>
      </c>
    </row>
    <row r="29" ht="15" customHeight="1" s="90">
      <c r="B29" s="161" t="n"/>
      <c r="C29" s="158" t="n"/>
      <c r="D29" s="162">
        <f>IF(OR(C29="",Setup!C22=0),"",C29/Setup!C22)</f>
        <v/>
      </c>
      <c r="E29" s="158" t="n"/>
      <c r="F29" s="162">
        <f>IF(OR(E29="",Setup!C23=0),"",E29/Setup!C23)</f>
        <v/>
      </c>
    </row>
    <row r="30" ht="15" customHeight="1" s="90">
      <c r="B30" s="161" t="n"/>
      <c r="C30" s="158" t="n"/>
      <c r="D30" s="162">
        <f>IF(OR(C30="",Setup!C22=0),"",C30/Setup!C22)</f>
        <v/>
      </c>
      <c r="E30" s="158" t="n"/>
      <c r="F30" s="162">
        <f>IF(OR(E30="",Setup!C23=0),"",E30/Setup!C23)</f>
        <v/>
      </c>
    </row>
    <row r="31" ht="15" customHeight="1" s="90">
      <c r="B31" s="161" t="n"/>
      <c r="C31" s="158" t="n"/>
      <c r="D31" s="162">
        <f>IF(OR(C31="",Setup!C22=0),"",C31/Setup!C22)</f>
        <v/>
      </c>
      <c r="E31" s="158" t="n"/>
      <c r="F31" s="162">
        <f>IF(OR(E31="",Setup!C23=0),"",E31/Setup!C23)</f>
        <v/>
      </c>
    </row>
    <row r="32" ht="15" customHeight="1" s="90">
      <c r="B32" s="161" t="n"/>
      <c r="C32" s="158" t="n"/>
      <c r="D32" s="162">
        <f>IF(OR(C32="",Setup!C22=0),"",C32/Setup!C22)</f>
        <v/>
      </c>
      <c r="E32" s="158" t="n"/>
      <c r="F32" s="162">
        <f>IF(OR(E32="",Setup!C23=0),"",E32/Setup!C23)</f>
        <v/>
      </c>
    </row>
    <row r="33" ht="15" customHeight="1" s="90">
      <c r="B33" s="117" t="inlineStr">
        <is>
          <t>Total</t>
        </is>
      </c>
      <c r="C33" s="118">
        <f>SUM(C27:C32)</f>
        <v/>
      </c>
      <c r="D33" s="163">
        <f>IF(Setup!C22=0,"",C33/Setup!C22)</f>
        <v/>
      </c>
      <c r="E33" s="118">
        <f>SUM(E27:E32)</f>
        <v/>
      </c>
      <c r="F33" s="163">
        <f>IF(Setup!C23=0,"",E33/Setup!C23)</f>
        <v/>
      </c>
    </row>
    <row r="35" ht="15" customHeight="1" s="90">
      <c r="B35" s="104" t="inlineStr">
        <is>
          <t>(f) Promoters shareholding</t>
        </is>
      </c>
    </row>
    <row r="36" ht="39" customHeight="1" s="90">
      <c r="B36" s="113" t="inlineStr">
        <is>
          <t>Name of the promoter</t>
        </is>
      </c>
      <c r="C36" s="113" t="inlineStr">
        <is>
          <t>CY - No. of shares</t>
        </is>
      </c>
      <c r="D36" s="113" t="inlineStr">
        <is>
          <t>CY - % holding</t>
        </is>
      </c>
      <c r="E36" s="113" t="inlineStr">
        <is>
          <t>PY - No. of shares</t>
        </is>
      </c>
      <c r="F36" s="113" t="inlineStr">
        <is>
          <t>PY - % holding</t>
        </is>
      </c>
      <c r="G36" s="113" t="inlineStr">
        <is>
          <t>% change during the year</t>
        </is>
      </c>
    </row>
    <row r="37" ht="15" customHeight="1" s="90">
      <c r="B37" s="161" t="n"/>
      <c r="C37" s="158" t="n"/>
      <c r="D37" s="162">
        <f>IF(OR(C37="",Setup!C22=0),"",C37/Setup!C22)</f>
        <v/>
      </c>
      <c r="E37" s="158" t="n"/>
      <c r="F37" s="162">
        <f>IF(OR(E37="",Setup!C23=0),"",E37/Setup!C23)</f>
        <v/>
      </c>
      <c r="G37" s="162">
        <f>IF(OR(D37="",F37=""),"",D37-F37)</f>
        <v/>
      </c>
    </row>
    <row r="38" ht="15" customHeight="1" s="90">
      <c r="B38" s="161" t="n"/>
      <c r="C38" s="158" t="n"/>
      <c r="D38" s="162">
        <f>IF(OR(C38="",Setup!C22=0),"",C38/Setup!C22)</f>
        <v/>
      </c>
      <c r="E38" s="158" t="n"/>
      <c r="F38" s="162">
        <f>IF(OR(E38="",Setup!C23=0),"",E38/Setup!C23)</f>
        <v/>
      </c>
      <c r="G38" s="162">
        <f>IF(OR(D38="",F38=""),"",D38-F38)</f>
        <v/>
      </c>
    </row>
    <row r="39" ht="15" customHeight="1" s="90">
      <c r="B39" s="161" t="n"/>
      <c r="C39" s="158" t="n"/>
      <c r="D39" s="162">
        <f>IF(OR(C39="",Setup!C22=0),"",C39/Setup!C22)</f>
        <v/>
      </c>
      <c r="E39" s="158" t="n"/>
      <c r="F39" s="162">
        <f>IF(OR(E39="",Setup!C23=0),"",E39/Setup!C23)</f>
        <v/>
      </c>
      <c r="G39" s="162">
        <f>IF(OR(D39="",F39=""),"",D39-F39)</f>
        <v/>
      </c>
    </row>
    <row r="40" ht="15" customHeight="1" s="90">
      <c r="B40" s="161" t="n"/>
      <c r="C40" s="158" t="n"/>
      <c r="D40" s="162">
        <f>IF(OR(C40="",Setup!C22=0),"",C40/Setup!C22)</f>
        <v/>
      </c>
      <c r="E40" s="158" t="n"/>
      <c r="F40" s="162">
        <f>IF(OR(E40="",Setup!C23=0),"",E40/Setup!C23)</f>
        <v/>
      </c>
      <c r="G40" s="162">
        <f>IF(OR(D40="",F40=""),"",D40-F40)</f>
        <v/>
      </c>
    </row>
    <row r="41" ht="15" customHeight="1" s="90">
      <c r="B41" s="161" t="n"/>
      <c r="C41" s="158" t="n"/>
      <c r="D41" s="162">
        <f>IF(OR(C41="",Setup!C22=0),"",C41/Setup!C22)</f>
        <v/>
      </c>
      <c r="E41" s="158" t="n"/>
      <c r="F41" s="162">
        <f>IF(OR(E41="",Setup!C23=0),"",E41/Setup!C23)</f>
        <v/>
      </c>
      <c r="G41" s="162">
        <f>IF(OR(D41="",F41=""),"",D41-F41)</f>
        <v/>
      </c>
    </row>
    <row r="42" ht="15" customHeight="1" s="90">
      <c r="B42" s="161" t="n"/>
      <c r="C42" s="158" t="n"/>
      <c r="D42" s="162">
        <f>IF(OR(C42="",Setup!C22=0),"",C42/Setup!C22)</f>
        <v/>
      </c>
      <c r="E42" s="158" t="n"/>
      <c r="F42" s="162">
        <f>IF(OR(E42="",Setup!C23=0),"",E42/Setup!C23)</f>
        <v/>
      </c>
      <c r="G42" s="162">
        <f>IF(OR(D42="",F42=""),"",D42-F42)</f>
        <v/>
      </c>
    </row>
    <row r="43" ht="15" customHeight="1" s="90">
      <c r="B43" s="117" t="inlineStr">
        <is>
          <t>Total</t>
        </is>
      </c>
      <c r="C43" s="118">
        <f>SUM(C37:C42)</f>
        <v/>
      </c>
      <c r="D43" s="163">
        <f>IF(Setup!C22=0,"",C43/Setup!C22)</f>
        <v/>
      </c>
      <c r="E43" s="118">
        <f>SUM(E37:E42)</f>
        <v/>
      </c>
      <c r="F43" s="163">
        <f>IF(Setup!C23=0,"",E43/Setup!C23)</f>
        <v/>
      </c>
    </row>
  </sheetData>
  <mergeCells count="1">
    <mergeCell ref="B23:G23"/>
  </mergeCells>
  <printOptions horizontalCentered="0" verticalCentered="0" headings="0" gridLines="0" gridLinesSet="1"/>
  <pageMargins left="0.75" right="0.75" top="1" bottom="1" header="0.511811023622047" footer="0.511811023622047"/>
  <pageSetup orientation="portrait" paperSize="1" scale="100" fitToHeight="0"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1"/>
  </sheetPr>
  <dimension ref="B2:H20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89" min="1" max="1"/>
    <col width="44" customWidth="1" style="89" min="2" max="2"/>
    <col width="13" customWidth="1" style="89" min="3" max="8"/>
  </cols>
  <sheetData>
    <row r="2" ht="17.25" customHeight="1" s="90">
      <c r="B2" s="121" t="inlineStr">
        <is>
          <t>Notes to the Balance Sheet</t>
        </is>
      </c>
    </row>
    <row r="3" ht="21.75" customHeight="1" s="90">
      <c r="B3" s="164" t="inlineStr">
        <is>
          <t>Amounts in the same rounding unit as the Balance Sheet. Yellow cells are direct inputs.</t>
        </is>
      </c>
    </row>
    <row r="5" ht="15" customHeight="1" s="90">
      <c r="B5" s="122">
        <f>"Note "&amp;BS!$C$9&amp;" - Reserves and surplus"</f>
        <v/>
      </c>
    </row>
    <row r="6" ht="27.75" customHeight="1" s="90">
      <c r="B6" s="165" t="inlineStr">
        <is>
          <t>Particulars</t>
        </is>
      </c>
      <c r="C6" s="166">
        <f>"As at "&amp;TEXT(BSD,"dd mmmm yyyy")</f>
        <v/>
      </c>
      <c r="D6" s="166">
        <f>"As at "&amp;TEXT(PBSD,"dd mmmm yyyy")</f>
        <v/>
      </c>
    </row>
    <row r="7" ht="15" customHeight="1" s="90">
      <c r="B7" s="167" t="inlineStr">
        <is>
          <t>Opening balance</t>
        </is>
      </c>
      <c r="C7" s="168">
        <f>-Calc!$B$3/RND</f>
        <v/>
      </c>
      <c r="D7" s="168">
        <f>-Calc!$C$3/RND</f>
        <v/>
      </c>
    </row>
    <row r="8" ht="15" customHeight="1" s="90">
      <c r="B8" s="167" t="inlineStr">
        <is>
          <t>Add: profit for the year</t>
        </is>
      </c>
      <c r="C8" s="168">
        <f>Calc!$B$45/RND</f>
        <v/>
      </c>
      <c r="D8" s="168">
        <f>Calc!$C$46/RND</f>
        <v/>
      </c>
    </row>
    <row r="9" ht="15" customHeight="1" s="90">
      <c r="B9" s="167" t="inlineStr">
        <is>
          <t>Less: dividends / transfers during the year</t>
        </is>
      </c>
      <c r="C9" s="169" t="n">
        <v>0</v>
      </c>
      <c r="D9" s="169" t="n">
        <v>0</v>
      </c>
    </row>
    <row r="10" ht="15" customHeight="1" s="90">
      <c r="B10" s="170" t="inlineStr">
        <is>
          <t>Closing balance</t>
        </is>
      </c>
      <c r="C10" s="171">
        <f>C7+C8-C9</f>
        <v/>
      </c>
      <c r="D10" s="171">
        <f>D7+D8-D9</f>
        <v/>
      </c>
    </row>
    <row r="12" ht="15" customHeight="1" s="90">
      <c r="B12" s="122">
        <f>"Note "&amp;BS!$C$11&amp;" - Long-term borrowings"</f>
        <v/>
      </c>
    </row>
    <row r="13" ht="27.75" customHeight="1" s="90">
      <c r="B13" s="165" t="inlineStr">
        <is>
          <t>Particulars</t>
        </is>
      </c>
      <c r="C13" s="166">
        <f>"As at "&amp;TEXT(BSD,"dd mmmm yyyy")</f>
        <v/>
      </c>
      <c r="D13" s="166">
        <f>"As at "&amp;TEXT(PBSD,"dd mmmm yyyy")</f>
        <v/>
      </c>
    </row>
    <row r="14" ht="15" customHeight="1" s="90">
      <c r="B14" s="167" t="inlineStr">
        <is>
          <t>Non-current portion</t>
        </is>
      </c>
      <c r="C14" s="168">
        <f>(-Calc!$B$4-Borrowings!$J$18)/RND</f>
        <v/>
      </c>
      <c r="D14" s="168">
        <f>(-Calc!$C$4-Borrowings!$I$27)/RND</f>
        <v/>
      </c>
    </row>
    <row r="15" ht="31.5" customHeight="1" s="90">
      <c r="B15" s="167" t="inlineStr">
        <is>
          <t>Current maturities (disclosed under short-term borrowings)</t>
        </is>
      </c>
      <c r="C15" s="168">
        <f>Borrowings!$J$18/RND</f>
        <v/>
      </c>
      <c r="D15" s="168">
        <f>Borrowings!$I$27/RND</f>
        <v/>
      </c>
    </row>
    <row r="16" ht="15" customHeight="1" s="90">
      <c r="B16" s="170" t="inlineStr">
        <is>
          <t>Total</t>
        </is>
      </c>
      <c r="C16" s="171">
        <f>-Calc!$B$4/RND</f>
        <v/>
      </c>
      <c r="D16" s="171">
        <f>-Calc!$C$4/RND</f>
        <v/>
      </c>
    </row>
    <row r="18" ht="15" customHeight="1" s="90">
      <c r="B18" s="122">
        <f>"Note "&amp;BS!$C$12&amp;" - Deferred tax (AS 22 timing differences)"</f>
        <v/>
      </c>
    </row>
    <row r="19" ht="23.25" customHeight="1" s="90">
      <c r="B19" s="165" t="inlineStr">
        <is>
          <t>Particulars</t>
        </is>
      </c>
      <c r="C19" s="166" t="inlineStr">
        <is>
          <t>Timing difference</t>
        </is>
      </c>
      <c r="D19" s="166" t="inlineStr">
        <is>
          <t>Tax effect</t>
        </is>
      </c>
    </row>
    <row r="20" ht="15" customHeight="1" s="90">
      <c r="B20" s="167" t="inlineStr">
        <is>
          <t>Effective tax rate (%)</t>
        </is>
      </c>
      <c r="C20" s="168">
        <f>'Deferred Tax'!$B$3</f>
        <v/>
      </c>
      <c r="D20" s="167" t="n"/>
    </row>
    <row r="21" ht="15" customHeight="1" s="90">
      <c r="B21" s="167" t="inlineStr">
        <is>
          <t>Depreciation (books vs tax WDV)</t>
        </is>
      </c>
      <c r="C21" s="168">
        <f>'Deferred Tax'!$D$6</f>
        <v/>
      </c>
      <c r="D21" s="168">
        <f>C21*$C$20/100/RND</f>
        <v/>
      </c>
    </row>
    <row r="22" ht="15" customHeight="1" s="90">
      <c r="B22" s="167" t="inlineStr">
        <is>
          <t>Section 43B items allowed on payment</t>
        </is>
      </c>
      <c r="C22" s="169" t="n">
        <v>0</v>
      </c>
      <c r="D22" s="168">
        <f>C22*$C$20/100/RND</f>
        <v/>
      </c>
    </row>
    <row r="23" ht="15" customHeight="1" s="90">
      <c r="B23" s="167" t="inlineStr">
        <is>
          <t>Provision for doubtful debts</t>
        </is>
      </c>
      <c r="C23" s="169" t="n">
        <v>0</v>
      </c>
      <c r="D23" s="168">
        <f>C23*$C$20/100/RND</f>
        <v/>
      </c>
    </row>
    <row r="24" ht="15" customHeight="1" s="90">
      <c r="B24" s="167" t="inlineStr">
        <is>
          <t>Other timing differences</t>
        </is>
      </c>
      <c r="C24" s="169" t="n">
        <v>0</v>
      </c>
      <c r="D24" s="168">
        <f>C24*$C$20/100/RND</f>
        <v/>
      </c>
    </row>
    <row r="25" ht="15" customHeight="1" s="90">
      <c r="B25" s="170" t="inlineStr">
        <is>
          <t>Net deferred tax liability / (asset)</t>
        </is>
      </c>
      <c r="C25" s="170" t="n"/>
      <c r="D25" s="171">
        <f>SUM(D21:D24)</f>
        <v/>
      </c>
    </row>
    <row r="26" ht="15" customHeight="1" s="90">
      <c r="B26" s="167" t="inlineStr">
        <is>
          <t>Recognised per trial balance (DTL - DTA)</t>
        </is>
      </c>
      <c r="C26" s="167" t="n"/>
      <c r="D26" s="168">
        <f>(-Calc!$B$5-Calc!$B$18)/RND</f>
        <v/>
      </c>
    </row>
    <row r="28" ht="15" customHeight="1" s="90">
      <c r="B28" s="122">
        <f>"Note "&amp;BS!$C$13&amp;" - Other long-term liabilities"</f>
        <v/>
      </c>
    </row>
    <row r="29" ht="27.75" customHeight="1" s="90">
      <c r="B29" s="165" t="inlineStr">
        <is>
          <t>Particulars</t>
        </is>
      </c>
      <c r="C29" s="166">
        <f>"As at "&amp;TEXT(BSD,"dd mmmm yyyy")</f>
        <v/>
      </c>
      <c r="D29" s="166">
        <f>"As at "&amp;TEXT(PBSD,"dd mmmm yyyy")</f>
        <v/>
      </c>
    </row>
    <row r="30" ht="15" customHeight="1" s="90">
      <c r="B30" s="167">
        <f>IFERROR(INDEX(TB!$A$6:$A$225,MATCH("OLTL#"&amp;1,TB!$H$6:$H$225,0)),"")</f>
        <v/>
      </c>
      <c r="C30" s="168">
        <f>IF(B30="","",-1*(INDEX(TB!$B$6:$B$225,MATCH("OLTL#"&amp;1,TB!$H$6:$H$225,0))-INDEX(TB!$C$6:$C$225,MATCH("OLTL#"&amp;1,TB!$H$6:$H$225,0)))/RND)</f>
        <v/>
      </c>
      <c r="D30" s="168">
        <f>IF(B30="","",-1*(INDEX(TB!$D$6:$D$225,MATCH("OLTL#"&amp;1,TB!$H$6:$H$225,0))-INDEX(TB!$E$6:$E$225,MATCH("OLTL#"&amp;1,TB!$H$6:$H$225,0)))/RND)</f>
        <v/>
      </c>
    </row>
    <row r="31" ht="15" customHeight="1" s="90">
      <c r="B31" s="167">
        <f>IFERROR(INDEX(TB!$A$6:$A$225,MATCH("OLTL#"&amp;2,TB!$H$6:$H$225,0)),"")</f>
        <v/>
      </c>
      <c r="C31" s="168">
        <f>IF(B31="","",-1*(INDEX(TB!$B$6:$B$225,MATCH("OLTL#"&amp;2,TB!$H$6:$H$225,0))-INDEX(TB!$C$6:$C$225,MATCH("OLTL#"&amp;2,TB!$H$6:$H$225,0)))/RND)</f>
        <v/>
      </c>
      <c r="D31" s="168">
        <f>IF(B31="","",-1*(INDEX(TB!$D$6:$D$225,MATCH("OLTL#"&amp;2,TB!$H$6:$H$225,0))-INDEX(TB!$E$6:$E$225,MATCH("OLTL#"&amp;2,TB!$H$6:$H$225,0)))/RND)</f>
        <v/>
      </c>
    </row>
    <row r="32" ht="15" customHeight="1" s="90">
      <c r="B32" s="167">
        <f>IFERROR(INDEX(TB!$A$6:$A$225,MATCH("OLTL#"&amp;3,TB!$H$6:$H$225,0)),"")</f>
        <v/>
      </c>
      <c r="C32" s="168">
        <f>IF(B32="","",-1*(INDEX(TB!$B$6:$B$225,MATCH("OLTL#"&amp;3,TB!$H$6:$H$225,0))-INDEX(TB!$C$6:$C$225,MATCH("OLTL#"&amp;3,TB!$H$6:$H$225,0)))/RND)</f>
        <v/>
      </c>
      <c r="D32" s="168">
        <f>IF(B32="","",-1*(INDEX(TB!$D$6:$D$225,MATCH("OLTL#"&amp;3,TB!$H$6:$H$225,0))-INDEX(TB!$E$6:$E$225,MATCH("OLTL#"&amp;3,TB!$H$6:$H$225,0)))/RND)</f>
        <v/>
      </c>
    </row>
    <row r="33" ht="15" customHeight="1" s="90">
      <c r="B33" s="167">
        <f>IFERROR(INDEX(TB!$A$6:$A$225,MATCH("OLTL#"&amp;4,TB!$H$6:$H$225,0)),"")</f>
        <v/>
      </c>
      <c r="C33" s="168">
        <f>IF(B33="","",-1*(INDEX(TB!$B$6:$B$225,MATCH("OLTL#"&amp;4,TB!$H$6:$H$225,0))-INDEX(TB!$C$6:$C$225,MATCH("OLTL#"&amp;4,TB!$H$6:$H$225,0)))/RND)</f>
        <v/>
      </c>
      <c r="D33" s="168">
        <f>IF(B33="","",-1*(INDEX(TB!$D$6:$D$225,MATCH("OLTL#"&amp;4,TB!$H$6:$H$225,0))-INDEX(TB!$E$6:$E$225,MATCH("OLTL#"&amp;4,TB!$H$6:$H$225,0)))/RND)</f>
        <v/>
      </c>
    </row>
    <row r="34" ht="15" customHeight="1" s="90">
      <c r="B34" s="167">
        <f>IFERROR(INDEX(TB!$A$6:$A$225,MATCH("OLTL#"&amp;5,TB!$H$6:$H$225,0)),"")</f>
        <v/>
      </c>
      <c r="C34" s="168">
        <f>IF(B34="","",-1*(INDEX(TB!$B$6:$B$225,MATCH("OLTL#"&amp;5,TB!$H$6:$H$225,0))-INDEX(TB!$C$6:$C$225,MATCH("OLTL#"&amp;5,TB!$H$6:$H$225,0)))/RND)</f>
        <v/>
      </c>
      <c r="D34" s="168">
        <f>IF(B34="","",-1*(INDEX(TB!$D$6:$D$225,MATCH("OLTL#"&amp;5,TB!$H$6:$H$225,0))-INDEX(TB!$E$6:$E$225,MATCH("OLTL#"&amp;5,TB!$H$6:$H$225,0)))/RND)</f>
        <v/>
      </c>
    </row>
    <row r="35" ht="15" customHeight="1" s="90">
      <c r="B35" s="167" t="inlineStr">
        <is>
          <t>Other items (grouped)</t>
        </is>
      </c>
      <c r="C35" s="168">
        <f>-1*Calc!$B$6/RND-SUM(C30:C34)</f>
        <v/>
      </c>
      <c r="D35" s="168">
        <f>-1*Calc!$C$6/RND-SUM(D30:D34)</f>
        <v/>
      </c>
    </row>
    <row r="36" ht="15" customHeight="1" s="90">
      <c r="B36" s="170" t="inlineStr">
        <is>
          <t>Total</t>
        </is>
      </c>
      <c r="C36" s="171">
        <f>-1*Calc!$B$6/RND</f>
        <v/>
      </c>
      <c r="D36" s="171">
        <f>-1*Calc!$C$6/RND</f>
        <v/>
      </c>
    </row>
    <row r="38" ht="15" customHeight="1" s="90">
      <c r="B38" s="122">
        <f>"Note "&amp;BS!$C$14&amp;" - Long-term provisions"</f>
        <v/>
      </c>
    </row>
    <row r="39" ht="27.75" customHeight="1" s="90">
      <c r="B39" s="165" t="inlineStr">
        <is>
          <t>Particulars</t>
        </is>
      </c>
      <c r="C39" s="166">
        <f>"As at "&amp;TEXT(BSD,"dd mmmm yyyy")</f>
        <v/>
      </c>
      <c r="D39" s="166">
        <f>"As at "&amp;TEXT(PBSD,"dd mmmm yyyy")</f>
        <v/>
      </c>
    </row>
    <row r="40" ht="15" customHeight="1" s="90">
      <c r="B40" s="167">
        <f>IFERROR(INDEX(TB!$A$6:$A$225,MATCH("LTPROV#"&amp;1,TB!$H$6:$H$225,0)),"")</f>
        <v/>
      </c>
      <c r="C40" s="168">
        <f>IF(B40="","",-1*(INDEX(TB!$B$6:$B$225,MATCH("LTPROV#"&amp;1,TB!$H$6:$H$225,0))-INDEX(TB!$C$6:$C$225,MATCH("LTPROV#"&amp;1,TB!$H$6:$H$225,0)))/RND)</f>
        <v/>
      </c>
      <c r="D40" s="168">
        <f>IF(B40="","",-1*(INDEX(TB!$D$6:$D$225,MATCH("LTPROV#"&amp;1,TB!$H$6:$H$225,0))-INDEX(TB!$E$6:$E$225,MATCH("LTPROV#"&amp;1,TB!$H$6:$H$225,0)))/RND)</f>
        <v/>
      </c>
    </row>
    <row r="41" ht="15" customHeight="1" s="90">
      <c r="B41" s="167">
        <f>IFERROR(INDEX(TB!$A$6:$A$225,MATCH("LTPROV#"&amp;2,TB!$H$6:$H$225,0)),"")</f>
        <v/>
      </c>
      <c r="C41" s="168">
        <f>IF(B41="","",-1*(INDEX(TB!$B$6:$B$225,MATCH("LTPROV#"&amp;2,TB!$H$6:$H$225,0))-INDEX(TB!$C$6:$C$225,MATCH("LTPROV#"&amp;2,TB!$H$6:$H$225,0)))/RND)</f>
        <v/>
      </c>
      <c r="D41" s="168">
        <f>IF(B41="","",-1*(INDEX(TB!$D$6:$D$225,MATCH("LTPROV#"&amp;2,TB!$H$6:$H$225,0))-INDEX(TB!$E$6:$E$225,MATCH("LTPROV#"&amp;2,TB!$H$6:$H$225,0)))/RND)</f>
        <v/>
      </c>
    </row>
    <row r="42" ht="15" customHeight="1" s="90">
      <c r="B42" s="167">
        <f>IFERROR(INDEX(TB!$A$6:$A$225,MATCH("LTPROV#"&amp;3,TB!$H$6:$H$225,0)),"")</f>
        <v/>
      </c>
      <c r="C42" s="168">
        <f>IF(B42="","",-1*(INDEX(TB!$B$6:$B$225,MATCH("LTPROV#"&amp;3,TB!$H$6:$H$225,0))-INDEX(TB!$C$6:$C$225,MATCH("LTPROV#"&amp;3,TB!$H$6:$H$225,0)))/RND)</f>
        <v/>
      </c>
      <c r="D42" s="168">
        <f>IF(B42="","",-1*(INDEX(TB!$D$6:$D$225,MATCH("LTPROV#"&amp;3,TB!$H$6:$H$225,0))-INDEX(TB!$E$6:$E$225,MATCH("LTPROV#"&amp;3,TB!$H$6:$H$225,0)))/RND)</f>
        <v/>
      </c>
    </row>
    <row r="43" ht="15" customHeight="1" s="90">
      <c r="B43" s="167">
        <f>IFERROR(INDEX(TB!$A$6:$A$225,MATCH("LTPROV#"&amp;4,TB!$H$6:$H$225,0)),"")</f>
        <v/>
      </c>
      <c r="C43" s="168">
        <f>IF(B43="","",-1*(INDEX(TB!$B$6:$B$225,MATCH("LTPROV#"&amp;4,TB!$H$6:$H$225,0))-INDEX(TB!$C$6:$C$225,MATCH("LTPROV#"&amp;4,TB!$H$6:$H$225,0)))/RND)</f>
        <v/>
      </c>
      <c r="D43" s="168">
        <f>IF(B43="","",-1*(INDEX(TB!$D$6:$D$225,MATCH("LTPROV#"&amp;4,TB!$H$6:$H$225,0))-INDEX(TB!$E$6:$E$225,MATCH("LTPROV#"&amp;4,TB!$H$6:$H$225,0)))/RND)</f>
        <v/>
      </c>
    </row>
    <row r="44" ht="15" customHeight="1" s="90">
      <c r="B44" s="167">
        <f>IFERROR(INDEX(TB!$A$6:$A$225,MATCH("LTPROV#"&amp;5,TB!$H$6:$H$225,0)),"")</f>
        <v/>
      </c>
      <c r="C44" s="168">
        <f>IF(B44="","",-1*(INDEX(TB!$B$6:$B$225,MATCH("LTPROV#"&amp;5,TB!$H$6:$H$225,0))-INDEX(TB!$C$6:$C$225,MATCH("LTPROV#"&amp;5,TB!$H$6:$H$225,0)))/RND)</f>
        <v/>
      </c>
      <c r="D44" s="168">
        <f>IF(B44="","",-1*(INDEX(TB!$D$6:$D$225,MATCH("LTPROV#"&amp;5,TB!$H$6:$H$225,0))-INDEX(TB!$E$6:$E$225,MATCH("LTPROV#"&amp;5,TB!$H$6:$H$225,0)))/RND)</f>
        <v/>
      </c>
    </row>
    <row r="45" ht="15" customHeight="1" s="90">
      <c r="B45" s="167" t="inlineStr">
        <is>
          <t>Other items (grouped)</t>
        </is>
      </c>
      <c r="C45" s="168">
        <f>-1*Calc!$B$7/RND-SUM(C40:C44)</f>
        <v/>
      </c>
      <c r="D45" s="168">
        <f>-1*Calc!$C$7/RND-SUM(D40:D44)</f>
        <v/>
      </c>
    </row>
    <row r="46" ht="15" customHeight="1" s="90">
      <c r="B46" s="170" t="inlineStr">
        <is>
          <t>Total</t>
        </is>
      </c>
      <c r="C46" s="171">
        <f>-1*Calc!$B$7/RND</f>
        <v/>
      </c>
      <c r="D46" s="171">
        <f>-1*Calc!$C$7/RND</f>
        <v/>
      </c>
    </row>
    <row r="48" ht="15" customHeight="1" s="90">
      <c r="B48" s="122">
        <f>"Note "&amp;BS!$C$16&amp;" - Short-term borrowings"</f>
        <v/>
      </c>
    </row>
    <row r="49" ht="27.75" customHeight="1" s="90">
      <c r="B49" s="165" t="inlineStr">
        <is>
          <t>Particulars</t>
        </is>
      </c>
      <c r="C49" s="166">
        <f>"As at "&amp;TEXT(BSD,"dd mmmm yyyy")</f>
        <v/>
      </c>
      <c r="D49" s="166">
        <f>"As at "&amp;TEXT(PBSD,"dd mmmm yyyy")</f>
        <v/>
      </c>
    </row>
    <row r="50" ht="15" customHeight="1" s="90">
      <c r="B50" s="167" t="inlineStr">
        <is>
          <t>Current maturities of long-term borrowings</t>
        </is>
      </c>
      <c r="C50" s="168">
        <f>Borrowings!$J$18/RND</f>
        <v/>
      </c>
      <c r="D50" s="168">
        <f>Borrowings!$I$27/RND</f>
        <v/>
      </c>
    </row>
    <row r="51" ht="15" customHeight="1" s="90">
      <c r="B51" s="167">
        <f>IFERROR(INDEX(TB!$A$6:$A$225,MATCH("STB#"&amp;1,TB!$H$6:$H$225,0)),"")</f>
        <v/>
      </c>
      <c r="C51" s="168">
        <f>IF(B51="","",-1*(INDEX(TB!$B$6:$B$225,MATCH("STB#"&amp;1,TB!$H$6:$H$225,0))-INDEX(TB!$C$6:$C$225,MATCH("STB#"&amp;1,TB!$H$6:$H$225,0)))/RND)</f>
        <v/>
      </c>
      <c r="D51" s="168">
        <f>IF(B51="","",-1*(INDEX(TB!$D$6:$D$225,MATCH("STB#"&amp;1,TB!$H$6:$H$225,0))-INDEX(TB!$E$6:$E$225,MATCH("STB#"&amp;1,TB!$H$6:$H$225,0)))/RND)</f>
        <v/>
      </c>
    </row>
    <row r="52" ht="15" customHeight="1" s="90">
      <c r="B52" s="167">
        <f>IFERROR(INDEX(TB!$A$6:$A$225,MATCH("STB#"&amp;2,TB!$H$6:$H$225,0)),"")</f>
        <v/>
      </c>
      <c r="C52" s="168">
        <f>IF(B52="","",-1*(INDEX(TB!$B$6:$B$225,MATCH("STB#"&amp;2,TB!$H$6:$H$225,0))-INDEX(TB!$C$6:$C$225,MATCH("STB#"&amp;2,TB!$H$6:$H$225,0)))/RND)</f>
        <v/>
      </c>
      <c r="D52" s="168">
        <f>IF(B52="","",-1*(INDEX(TB!$D$6:$D$225,MATCH("STB#"&amp;2,TB!$H$6:$H$225,0))-INDEX(TB!$E$6:$E$225,MATCH("STB#"&amp;2,TB!$H$6:$H$225,0)))/RND)</f>
        <v/>
      </c>
    </row>
    <row r="53" ht="15" customHeight="1" s="90">
      <c r="B53" s="167">
        <f>IFERROR(INDEX(TB!$A$6:$A$225,MATCH("STB#"&amp;3,TB!$H$6:$H$225,0)),"")</f>
        <v/>
      </c>
      <c r="C53" s="168">
        <f>IF(B53="","",-1*(INDEX(TB!$B$6:$B$225,MATCH("STB#"&amp;3,TB!$H$6:$H$225,0))-INDEX(TB!$C$6:$C$225,MATCH("STB#"&amp;3,TB!$H$6:$H$225,0)))/RND)</f>
        <v/>
      </c>
      <c r="D53" s="168">
        <f>IF(B53="","",-1*(INDEX(TB!$D$6:$D$225,MATCH("STB#"&amp;3,TB!$H$6:$H$225,0))-INDEX(TB!$E$6:$E$225,MATCH("STB#"&amp;3,TB!$H$6:$H$225,0)))/RND)</f>
        <v/>
      </c>
    </row>
    <row r="54" ht="15" customHeight="1" s="90">
      <c r="B54" s="167">
        <f>IFERROR(INDEX(TB!$A$6:$A$225,MATCH("STB#"&amp;4,TB!$H$6:$H$225,0)),"")</f>
        <v/>
      </c>
      <c r="C54" s="168">
        <f>IF(B54="","",-1*(INDEX(TB!$B$6:$B$225,MATCH("STB#"&amp;4,TB!$H$6:$H$225,0))-INDEX(TB!$C$6:$C$225,MATCH("STB#"&amp;4,TB!$H$6:$H$225,0)))/RND)</f>
        <v/>
      </c>
      <c r="D54" s="168">
        <f>IF(B54="","",-1*(INDEX(TB!$D$6:$D$225,MATCH("STB#"&amp;4,TB!$H$6:$H$225,0))-INDEX(TB!$E$6:$E$225,MATCH("STB#"&amp;4,TB!$H$6:$H$225,0)))/RND)</f>
        <v/>
      </c>
    </row>
    <row r="55" ht="15" customHeight="1" s="90">
      <c r="B55" s="167">
        <f>IFERROR(INDEX(TB!$A$6:$A$225,MATCH("STB#"&amp;5,TB!$H$6:$H$225,0)),"")</f>
        <v/>
      </c>
      <c r="C55" s="168">
        <f>IF(B55="","",-1*(INDEX(TB!$B$6:$B$225,MATCH("STB#"&amp;5,TB!$H$6:$H$225,0))-INDEX(TB!$C$6:$C$225,MATCH("STB#"&amp;5,TB!$H$6:$H$225,0)))/RND)</f>
        <v/>
      </c>
      <c r="D55" s="168">
        <f>IF(B55="","",-1*(INDEX(TB!$D$6:$D$225,MATCH("STB#"&amp;5,TB!$H$6:$H$225,0))-INDEX(TB!$E$6:$E$225,MATCH("STB#"&amp;5,TB!$H$6:$H$225,0)))/RND)</f>
        <v/>
      </c>
    </row>
    <row r="56" ht="15" customHeight="1" s="90">
      <c r="B56" s="167">
        <f>IFERROR(INDEX(TB!$A$6:$A$225,MATCH("STB#"&amp;6,TB!$H$6:$H$225,0)),"")</f>
        <v/>
      </c>
      <c r="C56" s="168">
        <f>IF(B56="","",-1*(INDEX(TB!$B$6:$B$225,MATCH("STB#"&amp;6,TB!$H$6:$H$225,0))-INDEX(TB!$C$6:$C$225,MATCH("STB#"&amp;6,TB!$H$6:$H$225,0)))/RND)</f>
        <v/>
      </c>
      <c r="D56" s="168">
        <f>IF(B56="","",-1*(INDEX(TB!$D$6:$D$225,MATCH("STB#"&amp;6,TB!$H$6:$H$225,0))-INDEX(TB!$E$6:$E$225,MATCH("STB#"&amp;6,TB!$H$6:$H$225,0)))/RND)</f>
        <v/>
      </c>
    </row>
    <row r="57" ht="15" customHeight="1" s="90">
      <c r="B57" s="167" t="inlineStr">
        <is>
          <t>Other items (grouped)</t>
        </is>
      </c>
      <c r="C57" s="168">
        <f>-1*Calc!$B$8/RND-SUM(C50:C56)</f>
        <v/>
      </c>
      <c r="D57" s="168">
        <f>-1*Calc!$C$8/RND-SUM(D50:D56)</f>
        <v/>
      </c>
    </row>
    <row r="58" ht="15" customHeight="1" s="90">
      <c r="B58" s="170" t="inlineStr">
        <is>
          <t>Total</t>
        </is>
      </c>
      <c r="C58" s="171">
        <f>-1*Calc!$B$8/RND+Borrowings!$J$18/RND</f>
        <v/>
      </c>
      <c r="D58" s="171">
        <f>-1*Calc!$C$8/RND+Borrowings!$I$27/RND</f>
        <v/>
      </c>
    </row>
    <row r="60" ht="15" customHeight="1" s="90">
      <c r="B60" s="122">
        <f>"Note "&amp;BS!$C$17&amp;" - Trade payables"</f>
        <v/>
      </c>
    </row>
    <row r="61" ht="27.75" customHeight="1" s="90">
      <c r="B61" s="165" t="inlineStr">
        <is>
          <t>Particulars</t>
        </is>
      </c>
      <c r="C61" s="166">
        <f>"As at "&amp;TEXT(BSD,"dd mmmm yyyy")</f>
        <v/>
      </c>
      <c r="D61" s="166">
        <f>"As at "&amp;TEXT(PBSD,"dd mmmm yyyy")</f>
        <v/>
      </c>
    </row>
    <row r="62" ht="31.5" customHeight="1" s="90">
      <c r="B62" s="167" t="inlineStr">
        <is>
          <t>Total outstanding dues of micro and small enterprises</t>
        </is>
      </c>
      <c r="C62" s="168">
        <f>-Calc!$B$9/RND</f>
        <v/>
      </c>
      <c r="D62" s="168">
        <f>-Calc!$C$9/RND</f>
        <v/>
      </c>
    </row>
    <row r="63" ht="31.5" customHeight="1" s="90">
      <c r="B63" s="167" t="inlineStr">
        <is>
          <t>Total dues of creditors other than micro &amp; small enterprises</t>
        </is>
      </c>
      <c r="C63" s="168">
        <f>-Calc!$B$10/RND</f>
        <v/>
      </c>
      <c r="D63" s="168">
        <f>-Calc!$C$10/RND</f>
        <v/>
      </c>
    </row>
    <row r="64" ht="15" customHeight="1" s="90">
      <c r="B64" s="170" t="inlineStr">
        <is>
          <t>Total</t>
        </is>
      </c>
      <c r="C64" s="171">
        <f>-(Calc!$B$9+Calc!$B$10)/RND</f>
        <v/>
      </c>
      <c r="D64" s="171">
        <f>-(Calc!$C$9+Calc!$C$10)/RND</f>
        <v/>
      </c>
    </row>
    <row r="66" ht="31.5" customHeight="1" s="90">
      <c r="B66" s="172" t="inlineStr">
        <is>
          <t>Disclosure under the MSMED Act, 2006 (Section 22)</t>
        </is>
      </c>
    </row>
    <row r="67" ht="27.75" customHeight="1" s="90">
      <c r="B67" s="165" t="inlineStr">
        <is>
          <t>Particulars</t>
        </is>
      </c>
      <c r="C67" s="166">
        <f>"As at "&amp;TEXT(BSD,"dd mmmm yyyy")</f>
        <v/>
      </c>
      <c r="D67" s="166">
        <f>"As at "&amp;TEXT(PBSD,"dd mmmm yyyy")</f>
        <v/>
      </c>
    </row>
    <row r="68" ht="30" customHeight="1" s="90">
      <c r="B68" s="167" t="inlineStr">
        <is>
          <t>Principal amount remaining unpaid at year end</t>
        </is>
      </c>
      <c r="C68" s="169" t="n">
        <v>0</v>
      </c>
      <c r="D68" s="169" t="n">
        <v>0</v>
      </c>
    </row>
    <row r="69" ht="15" customHeight="1" s="90">
      <c r="B69" s="167" t="inlineStr">
        <is>
          <t>Interest due thereon at year end</t>
        </is>
      </c>
      <c r="C69" s="169" t="n">
        <v>0</v>
      </c>
      <c r="D69" s="169" t="n">
        <v>0</v>
      </c>
    </row>
    <row r="70" ht="30" customHeight="1" s="90">
      <c r="B70" s="167" t="inlineStr">
        <is>
          <t>Interest paid beyond the appointed day</t>
        </is>
      </c>
      <c r="C70" s="169" t="n">
        <v>0</v>
      </c>
      <c r="D70" s="169" t="n">
        <v>0</v>
      </c>
    </row>
    <row r="71" ht="31.5" customHeight="1" s="90">
      <c r="B71" s="167" t="inlineStr">
        <is>
          <t>Interest due and payable for delay during the year</t>
        </is>
      </c>
      <c r="C71" s="169" t="n">
        <v>0</v>
      </c>
      <c r="D71" s="169" t="n">
        <v>0</v>
      </c>
    </row>
    <row r="72" ht="31.5" customHeight="1" s="90">
      <c r="B72" s="167" t="inlineStr">
        <is>
          <t>Interest accrued and remaining unpaid at year end</t>
        </is>
      </c>
      <c r="C72" s="169" t="n">
        <v>0</v>
      </c>
      <c r="D72" s="169" t="n">
        <v>0</v>
      </c>
    </row>
    <row r="73" ht="30" customHeight="1" s="90">
      <c r="B73" s="167" t="inlineStr">
        <is>
          <t>Further interest due in succeeding years</t>
        </is>
      </c>
      <c r="C73" s="169" t="n">
        <v>0</v>
      </c>
      <c r="D73" s="169" t="n">
        <v>0</v>
      </c>
    </row>
    <row r="75" ht="15" customHeight="1" s="90">
      <c r="B75" s="172" t="inlineStr">
        <is>
          <t>Trade payables ageing schedule</t>
        </is>
      </c>
    </row>
    <row r="76" ht="31.5" customHeight="1" s="90">
      <c r="B76" s="165" t="inlineStr">
        <is>
          <t>Outstanding for the following periods from the due date</t>
        </is>
      </c>
      <c r="C76" s="166" t="inlineStr">
        <is>
          <t>Less than 1 year</t>
        </is>
      </c>
      <c r="D76" s="166" t="inlineStr">
        <is>
          <t>1-2 years</t>
        </is>
      </c>
      <c r="E76" s="166" t="inlineStr">
        <is>
          <t>2-3 years</t>
        </is>
      </c>
      <c r="F76" s="166" t="inlineStr">
        <is>
          <t>More than 3 years</t>
        </is>
      </c>
      <c r="G76" s="166" t="inlineStr">
        <is>
          <t>Total</t>
        </is>
      </c>
    </row>
    <row r="77" ht="15" customHeight="1" s="90">
      <c r="B77" s="167" t="inlineStr">
        <is>
          <t>(i) MSME</t>
        </is>
      </c>
      <c r="C77" s="169" t="n">
        <v>0</v>
      </c>
      <c r="D77" s="169" t="n">
        <v>0</v>
      </c>
      <c r="E77" s="169" t="n">
        <v>0</v>
      </c>
      <c r="F77" s="169" t="n">
        <v>0</v>
      </c>
      <c r="G77" s="168">
        <f>SUM(C77:F77)</f>
        <v/>
      </c>
    </row>
    <row r="78" ht="15" customHeight="1" s="90">
      <c r="B78" s="167" t="inlineStr">
        <is>
          <t>(ii) Others</t>
        </is>
      </c>
      <c r="C78" s="169" t="n">
        <v>0</v>
      </c>
      <c r="D78" s="169" t="n">
        <v>0</v>
      </c>
      <c r="E78" s="169" t="n">
        <v>0</v>
      </c>
      <c r="F78" s="169" t="n">
        <v>0</v>
      </c>
      <c r="G78" s="168">
        <f>SUM(C78:F78)</f>
        <v/>
      </c>
    </row>
    <row r="79" ht="15" customHeight="1" s="90">
      <c r="B79" s="167" t="inlineStr">
        <is>
          <t>(iii) Disputed dues - MSME</t>
        </is>
      </c>
      <c r="C79" s="169" t="n">
        <v>0</v>
      </c>
      <c r="D79" s="169" t="n">
        <v>0</v>
      </c>
      <c r="E79" s="169" t="n">
        <v>0</v>
      </c>
      <c r="F79" s="169" t="n">
        <v>0</v>
      </c>
      <c r="G79" s="168">
        <f>SUM(C79:F79)</f>
        <v/>
      </c>
    </row>
    <row r="80" ht="15" customHeight="1" s="90">
      <c r="B80" s="167" t="inlineStr">
        <is>
          <t>(iv) Disputed dues - Others</t>
        </is>
      </c>
      <c r="C80" s="169" t="n">
        <v>0</v>
      </c>
      <c r="D80" s="169" t="n">
        <v>0</v>
      </c>
      <c r="E80" s="169" t="n">
        <v>0</v>
      </c>
      <c r="F80" s="169" t="n">
        <v>0</v>
      </c>
      <c r="G80" s="168">
        <f>SUM(C80:F80)</f>
        <v/>
      </c>
    </row>
    <row r="81" ht="15" customHeight="1" s="90">
      <c r="B81" s="170" t="inlineStr">
        <is>
          <t>Total</t>
        </is>
      </c>
      <c r="C81" s="171">
        <f>SUM(C77:C80)</f>
        <v/>
      </c>
      <c r="D81" s="171">
        <f>SUM(D77:D80)</f>
        <v/>
      </c>
      <c r="E81" s="171">
        <f>SUM(E77:E80)</f>
        <v/>
      </c>
      <c r="F81" s="171">
        <f>SUM(F77:F80)</f>
        <v/>
      </c>
      <c r="G81" s="171">
        <f>SUM(G77:G80)</f>
        <v/>
      </c>
    </row>
    <row r="82" ht="31.5" customHeight="1" s="90">
      <c r="B82" s="164" t="inlineStr">
        <is>
          <t>Check: ageing total vs trade payables (0 expected)</t>
        </is>
      </c>
      <c r="G82" s="168">
        <f>G81-C64</f>
        <v/>
      </c>
    </row>
    <row r="84" ht="15" customHeight="1" s="90">
      <c r="B84" s="122">
        <f>"Note "&amp;BS!$C$19&amp;" - Other current liabilities"</f>
        <v/>
      </c>
    </row>
    <row r="85" ht="27.75" customHeight="1" s="90">
      <c r="B85" s="165" t="inlineStr">
        <is>
          <t>Particulars</t>
        </is>
      </c>
      <c r="C85" s="166">
        <f>"As at "&amp;TEXT(BSD,"dd mmmm yyyy")</f>
        <v/>
      </c>
      <c r="D85" s="166">
        <f>"As at "&amp;TEXT(PBSD,"dd mmmm yyyy")</f>
        <v/>
      </c>
    </row>
    <row r="86" ht="15" customHeight="1" s="90">
      <c r="B86" s="167" t="inlineStr">
        <is>
          <t>Interest accrued but not due on borrowings</t>
        </is>
      </c>
      <c r="C86" s="168">
        <f>Borrowings!$L$18/RND</f>
        <v/>
      </c>
      <c r="D86" s="168" t="n"/>
    </row>
    <row r="87" ht="15" customHeight="1" s="90">
      <c r="B87" s="167">
        <f>IFERROR(INDEX(TB!$A$6:$A$225,MATCH("OCL#"&amp;1,TB!$H$6:$H$225,0)),"")</f>
        <v/>
      </c>
      <c r="C87" s="168">
        <f>IF(B87="","",-1*(INDEX(TB!$B$6:$B$225,MATCH("OCL#"&amp;1,TB!$H$6:$H$225,0))-INDEX(TB!$C$6:$C$225,MATCH("OCL#"&amp;1,TB!$H$6:$H$225,0)))/RND)</f>
        <v/>
      </c>
      <c r="D87" s="168">
        <f>IF(B87="","",-1*(INDEX(TB!$D$6:$D$225,MATCH("OCL#"&amp;1,TB!$H$6:$H$225,0))-INDEX(TB!$E$6:$E$225,MATCH("OCL#"&amp;1,TB!$H$6:$H$225,0)))/RND)</f>
        <v/>
      </c>
    </row>
    <row r="88" ht="15" customHeight="1" s="90">
      <c r="B88" s="167">
        <f>IFERROR(INDEX(TB!$A$6:$A$225,MATCH("OCL#"&amp;2,TB!$H$6:$H$225,0)),"")</f>
        <v/>
      </c>
      <c r="C88" s="168">
        <f>IF(B88="","",-1*(INDEX(TB!$B$6:$B$225,MATCH("OCL#"&amp;2,TB!$H$6:$H$225,0))-INDEX(TB!$C$6:$C$225,MATCH("OCL#"&amp;2,TB!$H$6:$H$225,0)))/RND)</f>
        <v/>
      </c>
      <c r="D88" s="168">
        <f>IF(B88="","",-1*(INDEX(TB!$D$6:$D$225,MATCH("OCL#"&amp;2,TB!$H$6:$H$225,0))-INDEX(TB!$E$6:$E$225,MATCH("OCL#"&amp;2,TB!$H$6:$H$225,0)))/RND)</f>
        <v/>
      </c>
    </row>
    <row r="89" ht="15" customHeight="1" s="90">
      <c r="B89" s="167">
        <f>IFERROR(INDEX(TB!$A$6:$A$225,MATCH("OCL#"&amp;3,TB!$H$6:$H$225,0)),"")</f>
        <v/>
      </c>
      <c r="C89" s="168">
        <f>IF(B89="","",-1*(INDEX(TB!$B$6:$B$225,MATCH("OCL#"&amp;3,TB!$H$6:$H$225,0))-INDEX(TB!$C$6:$C$225,MATCH("OCL#"&amp;3,TB!$H$6:$H$225,0)))/RND)</f>
        <v/>
      </c>
      <c r="D89" s="168">
        <f>IF(B89="","",-1*(INDEX(TB!$D$6:$D$225,MATCH("OCL#"&amp;3,TB!$H$6:$H$225,0))-INDEX(TB!$E$6:$E$225,MATCH("OCL#"&amp;3,TB!$H$6:$H$225,0)))/RND)</f>
        <v/>
      </c>
    </row>
    <row r="90" ht="15" customHeight="1" s="90">
      <c r="B90" s="167">
        <f>IFERROR(INDEX(TB!$A$6:$A$225,MATCH("OCL#"&amp;4,TB!$H$6:$H$225,0)),"")</f>
        <v/>
      </c>
      <c r="C90" s="168">
        <f>IF(B90="","",-1*(INDEX(TB!$B$6:$B$225,MATCH("OCL#"&amp;4,TB!$H$6:$H$225,0))-INDEX(TB!$C$6:$C$225,MATCH("OCL#"&amp;4,TB!$H$6:$H$225,0)))/RND)</f>
        <v/>
      </c>
      <c r="D90" s="168">
        <f>IF(B90="","",-1*(INDEX(TB!$D$6:$D$225,MATCH("OCL#"&amp;4,TB!$H$6:$H$225,0))-INDEX(TB!$E$6:$E$225,MATCH("OCL#"&amp;4,TB!$H$6:$H$225,0)))/RND)</f>
        <v/>
      </c>
    </row>
    <row r="91" ht="15" customHeight="1" s="90">
      <c r="B91" s="167">
        <f>IFERROR(INDEX(TB!$A$6:$A$225,MATCH("OCL#"&amp;5,TB!$H$6:$H$225,0)),"")</f>
        <v/>
      </c>
      <c r="C91" s="168">
        <f>IF(B91="","",-1*(INDEX(TB!$B$6:$B$225,MATCH("OCL#"&amp;5,TB!$H$6:$H$225,0))-INDEX(TB!$C$6:$C$225,MATCH("OCL#"&amp;5,TB!$H$6:$H$225,0)))/RND)</f>
        <v/>
      </c>
      <c r="D91" s="168">
        <f>IF(B91="","",-1*(INDEX(TB!$D$6:$D$225,MATCH("OCL#"&amp;5,TB!$H$6:$H$225,0))-INDEX(TB!$E$6:$E$225,MATCH("OCL#"&amp;5,TB!$H$6:$H$225,0)))/RND)</f>
        <v/>
      </c>
    </row>
    <row r="92" ht="15" customHeight="1" s="90">
      <c r="B92" s="167">
        <f>IFERROR(INDEX(TB!$A$6:$A$225,MATCH("OCL#"&amp;6,TB!$H$6:$H$225,0)),"")</f>
        <v/>
      </c>
      <c r="C92" s="168">
        <f>IF(B92="","",-1*(INDEX(TB!$B$6:$B$225,MATCH("OCL#"&amp;6,TB!$H$6:$H$225,0))-INDEX(TB!$C$6:$C$225,MATCH("OCL#"&amp;6,TB!$H$6:$H$225,0)))/RND)</f>
        <v/>
      </c>
      <c r="D92" s="168">
        <f>IF(B92="","",-1*(INDEX(TB!$D$6:$D$225,MATCH("OCL#"&amp;6,TB!$H$6:$H$225,0))-INDEX(TB!$E$6:$E$225,MATCH("OCL#"&amp;6,TB!$H$6:$H$225,0)))/RND)</f>
        <v/>
      </c>
    </row>
    <row r="93" ht="15" customHeight="1" s="90">
      <c r="B93" s="167">
        <f>IFERROR(INDEX(TB!$A$6:$A$225,MATCH("OCL#"&amp;7,TB!$H$6:$H$225,0)),"")</f>
        <v/>
      </c>
      <c r="C93" s="168">
        <f>IF(B93="","",-1*(INDEX(TB!$B$6:$B$225,MATCH("OCL#"&amp;7,TB!$H$6:$H$225,0))-INDEX(TB!$C$6:$C$225,MATCH("OCL#"&amp;7,TB!$H$6:$H$225,0)))/RND)</f>
        <v/>
      </c>
      <c r="D93" s="168">
        <f>IF(B93="","",-1*(INDEX(TB!$D$6:$D$225,MATCH("OCL#"&amp;7,TB!$H$6:$H$225,0))-INDEX(TB!$E$6:$E$225,MATCH("OCL#"&amp;7,TB!$H$6:$H$225,0)))/RND)</f>
        <v/>
      </c>
    </row>
    <row r="94" ht="15" customHeight="1" s="90">
      <c r="B94" s="167" t="inlineStr">
        <is>
          <t>Other items (grouped)</t>
        </is>
      </c>
      <c r="C94" s="168">
        <f>-1*Calc!$B$11/RND-SUM(C86:C93)</f>
        <v/>
      </c>
      <c r="D94" s="168">
        <f>-1*Calc!$C$11/RND-SUM(D86:D93)</f>
        <v/>
      </c>
    </row>
    <row r="95" ht="15" customHeight="1" s="90">
      <c r="B95" s="170" t="inlineStr">
        <is>
          <t>Total</t>
        </is>
      </c>
      <c r="C95" s="171">
        <f>-1*Calc!$B$11/RND</f>
        <v/>
      </c>
      <c r="D95" s="171">
        <f>-1*Calc!$C$11/RND</f>
        <v/>
      </c>
    </row>
    <row r="97" ht="15" customHeight="1" s="90">
      <c r="B97" s="122">
        <f>"Note "&amp;BS!$C$20&amp;" - Short-term provisions"</f>
        <v/>
      </c>
    </row>
    <row r="98" ht="27.75" customHeight="1" s="90">
      <c r="B98" s="165" t="inlineStr">
        <is>
          <t>Particulars</t>
        </is>
      </c>
      <c r="C98" s="166">
        <f>"As at "&amp;TEXT(BSD,"dd mmmm yyyy")</f>
        <v/>
      </c>
      <c r="D98" s="166">
        <f>"As at "&amp;TEXT(PBSD,"dd mmmm yyyy")</f>
        <v/>
      </c>
    </row>
    <row r="99" ht="15" customHeight="1" s="90">
      <c r="B99" s="167">
        <f>IFERROR(INDEX(TB!$A$6:$A$225,MATCH("STPROV#"&amp;1,TB!$H$6:$H$225,0)),"")</f>
        <v/>
      </c>
      <c r="C99" s="168">
        <f>IF(B99="","",-1*(INDEX(TB!$B$6:$B$225,MATCH("STPROV#"&amp;1,TB!$H$6:$H$225,0))-INDEX(TB!$C$6:$C$225,MATCH("STPROV#"&amp;1,TB!$H$6:$H$225,0)))/RND)</f>
        <v/>
      </c>
      <c r="D99" s="168">
        <f>IF(B99="","",-1*(INDEX(TB!$D$6:$D$225,MATCH("STPROV#"&amp;1,TB!$H$6:$H$225,0))-INDEX(TB!$E$6:$E$225,MATCH("STPROV#"&amp;1,TB!$H$6:$H$225,0)))/RND)</f>
        <v/>
      </c>
    </row>
    <row r="100" ht="15" customHeight="1" s="90">
      <c r="B100" s="167">
        <f>IFERROR(INDEX(TB!$A$6:$A$225,MATCH("STPROV#"&amp;2,TB!$H$6:$H$225,0)),"")</f>
        <v/>
      </c>
      <c r="C100" s="168">
        <f>IF(B100="","",-1*(INDEX(TB!$B$6:$B$225,MATCH("STPROV#"&amp;2,TB!$H$6:$H$225,0))-INDEX(TB!$C$6:$C$225,MATCH("STPROV#"&amp;2,TB!$H$6:$H$225,0)))/RND)</f>
        <v/>
      </c>
      <c r="D100" s="168">
        <f>IF(B100="","",-1*(INDEX(TB!$D$6:$D$225,MATCH("STPROV#"&amp;2,TB!$H$6:$H$225,0))-INDEX(TB!$E$6:$E$225,MATCH("STPROV#"&amp;2,TB!$H$6:$H$225,0)))/RND)</f>
        <v/>
      </c>
    </row>
    <row r="101" ht="15" customHeight="1" s="90">
      <c r="B101" s="167">
        <f>IFERROR(INDEX(TB!$A$6:$A$225,MATCH("STPROV#"&amp;3,TB!$H$6:$H$225,0)),"")</f>
        <v/>
      </c>
      <c r="C101" s="168">
        <f>IF(B101="","",-1*(INDEX(TB!$B$6:$B$225,MATCH("STPROV#"&amp;3,TB!$H$6:$H$225,0))-INDEX(TB!$C$6:$C$225,MATCH("STPROV#"&amp;3,TB!$H$6:$H$225,0)))/RND)</f>
        <v/>
      </c>
      <c r="D101" s="168">
        <f>IF(B101="","",-1*(INDEX(TB!$D$6:$D$225,MATCH("STPROV#"&amp;3,TB!$H$6:$H$225,0))-INDEX(TB!$E$6:$E$225,MATCH("STPROV#"&amp;3,TB!$H$6:$H$225,0)))/RND)</f>
        <v/>
      </c>
    </row>
    <row r="102" ht="15" customHeight="1" s="90">
      <c r="B102" s="167">
        <f>IFERROR(INDEX(TB!$A$6:$A$225,MATCH("STPROV#"&amp;4,TB!$H$6:$H$225,0)),"")</f>
        <v/>
      </c>
      <c r="C102" s="168">
        <f>IF(B102="","",-1*(INDEX(TB!$B$6:$B$225,MATCH("STPROV#"&amp;4,TB!$H$6:$H$225,0))-INDEX(TB!$C$6:$C$225,MATCH("STPROV#"&amp;4,TB!$H$6:$H$225,0)))/RND)</f>
        <v/>
      </c>
      <c r="D102" s="168">
        <f>IF(B102="","",-1*(INDEX(TB!$D$6:$D$225,MATCH("STPROV#"&amp;4,TB!$H$6:$H$225,0))-INDEX(TB!$E$6:$E$225,MATCH("STPROV#"&amp;4,TB!$H$6:$H$225,0)))/RND)</f>
        <v/>
      </c>
    </row>
    <row r="103" ht="15" customHeight="1" s="90">
      <c r="B103" s="167">
        <f>IFERROR(INDEX(TB!$A$6:$A$225,MATCH("STPROV#"&amp;5,TB!$H$6:$H$225,0)),"")</f>
        <v/>
      </c>
      <c r="C103" s="168">
        <f>IF(B103="","",-1*(INDEX(TB!$B$6:$B$225,MATCH("STPROV#"&amp;5,TB!$H$6:$H$225,0))-INDEX(TB!$C$6:$C$225,MATCH("STPROV#"&amp;5,TB!$H$6:$H$225,0)))/RND)</f>
        <v/>
      </c>
      <c r="D103" s="168">
        <f>IF(B103="","",-1*(INDEX(TB!$D$6:$D$225,MATCH("STPROV#"&amp;5,TB!$H$6:$H$225,0))-INDEX(TB!$E$6:$E$225,MATCH("STPROV#"&amp;5,TB!$H$6:$H$225,0)))/RND)</f>
        <v/>
      </c>
    </row>
    <row r="104" ht="15" customHeight="1" s="90">
      <c r="B104" s="167" t="inlineStr">
        <is>
          <t>Other items (grouped)</t>
        </is>
      </c>
      <c r="C104" s="168">
        <f>-1*Calc!$B$12/RND-SUM(C99:C103)</f>
        <v/>
      </c>
      <c r="D104" s="168">
        <f>-1*Calc!$C$12/RND-SUM(D99:D103)</f>
        <v/>
      </c>
    </row>
    <row r="105" ht="15" customHeight="1" s="90">
      <c r="B105" s="170" t="inlineStr">
        <is>
          <t>Total</t>
        </is>
      </c>
      <c r="C105" s="171">
        <f>-1*Calc!$B$12/RND</f>
        <v/>
      </c>
      <c r="D105" s="171">
        <f>-1*Calc!$C$12/RND</f>
        <v/>
      </c>
    </row>
    <row r="107" ht="15" customHeight="1" s="90">
      <c r="B107" s="122">
        <f>"Note "&amp;BS!$C$28&amp;" - Non-current investments"</f>
        <v/>
      </c>
    </row>
    <row r="108" ht="27.75" customHeight="1" s="90">
      <c r="B108" s="165" t="inlineStr">
        <is>
          <t>Particulars</t>
        </is>
      </c>
      <c r="C108" s="166">
        <f>"As at "&amp;TEXT(BSD,"dd mmmm yyyy")</f>
        <v/>
      </c>
      <c r="D108" s="166">
        <f>"As at "&amp;TEXT(PBSD,"dd mmmm yyyy")</f>
        <v/>
      </c>
    </row>
    <row r="109" ht="15" customHeight="1" s="90">
      <c r="B109" s="167">
        <f>IFERROR(INDEX(TB!$A$6:$A$225,MATCH("NCINV#"&amp;1,TB!$H$6:$H$225,0)),"")</f>
        <v/>
      </c>
      <c r="C109" s="168">
        <f>IF(B109="","",1*(INDEX(TB!$B$6:$B$225,MATCH("NCINV#"&amp;1,TB!$H$6:$H$225,0))-INDEX(TB!$C$6:$C$225,MATCH("NCINV#"&amp;1,TB!$H$6:$H$225,0)))/RND)</f>
        <v/>
      </c>
      <c r="D109" s="168">
        <f>IF(B109="","",1*(INDEX(TB!$D$6:$D$225,MATCH("NCINV#"&amp;1,TB!$H$6:$H$225,0))-INDEX(TB!$E$6:$E$225,MATCH("NCINV#"&amp;1,TB!$H$6:$H$225,0)))/RND)</f>
        <v/>
      </c>
    </row>
    <row r="110" ht="15" customHeight="1" s="90">
      <c r="B110" s="167">
        <f>IFERROR(INDEX(TB!$A$6:$A$225,MATCH("NCINV#"&amp;2,TB!$H$6:$H$225,0)),"")</f>
        <v/>
      </c>
      <c r="C110" s="168">
        <f>IF(B110="","",1*(INDEX(TB!$B$6:$B$225,MATCH("NCINV#"&amp;2,TB!$H$6:$H$225,0))-INDEX(TB!$C$6:$C$225,MATCH("NCINV#"&amp;2,TB!$H$6:$H$225,0)))/RND)</f>
        <v/>
      </c>
      <c r="D110" s="168">
        <f>IF(B110="","",1*(INDEX(TB!$D$6:$D$225,MATCH("NCINV#"&amp;2,TB!$H$6:$H$225,0))-INDEX(TB!$E$6:$E$225,MATCH("NCINV#"&amp;2,TB!$H$6:$H$225,0)))/RND)</f>
        <v/>
      </c>
    </row>
    <row r="111" ht="15" customHeight="1" s="90">
      <c r="B111" s="167">
        <f>IFERROR(INDEX(TB!$A$6:$A$225,MATCH("NCINV#"&amp;3,TB!$H$6:$H$225,0)),"")</f>
        <v/>
      </c>
      <c r="C111" s="168">
        <f>IF(B111="","",1*(INDEX(TB!$B$6:$B$225,MATCH("NCINV#"&amp;3,TB!$H$6:$H$225,0))-INDEX(TB!$C$6:$C$225,MATCH("NCINV#"&amp;3,TB!$H$6:$H$225,0)))/RND)</f>
        <v/>
      </c>
      <c r="D111" s="168">
        <f>IF(B111="","",1*(INDEX(TB!$D$6:$D$225,MATCH("NCINV#"&amp;3,TB!$H$6:$H$225,0))-INDEX(TB!$E$6:$E$225,MATCH("NCINV#"&amp;3,TB!$H$6:$H$225,0)))/RND)</f>
        <v/>
      </c>
    </row>
    <row r="112" ht="15" customHeight="1" s="90">
      <c r="B112" s="167">
        <f>IFERROR(INDEX(TB!$A$6:$A$225,MATCH("NCINV#"&amp;4,TB!$H$6:$H$225,0)),"")</f>
        <v/>
      </c>
      <c r="C112" s="168">
        <f>IF(B112="","",1*(INDEX(TB!$B$6:$B$225,MATCH("NCINV#"&amp;4,TB!$H$6:$H$225,0))-INDEX(TB!$C$6:$C$225,MATCH("NCINV#"&amp;4,TB!$H$6:$H$225,0)))/RND)</f>
        <v/>
      </c>
      <c r="D112" s="168">
        <f>IF(B112="","",1*(INDEX(TB!$D$6:$D$225,MATCH("NCINV#"&amp;4,TB!$H$6:$H$225,0))-INDEX(TB!$E$6:$E$225,MATCH("NCINV#"&amp;4,TB!$H$6:$H$225,0)))/RND)</f>
        <v/>
      </c>
    </row>
    <row r="113" ht="15" customHeight="1" s="90">
      <c r="B113" s="167">
        <f>IFERROR(INDEX(TB!$A$6:$A$225,MATCH("NCINV#"&amp;5,TB!$H$6:$H$225,0)),"")</f>
        <v/>
      </c>
      <c r="C113" s="168">
        <f>IF(B113="","",1*(INDEX(TB!$B$6:$B$225,MATCH("NCINV#"&amp;5,TB!$H$6:$H$225,0))-INDEX(TB!$C$6:$C$225,MATCH("NCINV#"&amp;5,TB!$H$6:$H$225,0)))/RND)</f>
        <v/>
      </c>
      <c r="D113" s="168">
        <f>IF(B113="","",1*(INDEX(TB!$D$6:$D$225,MATCH("NCINV#"&amp;5,TB!$H$6:$H$225,0))-INDEX(TB!$E$6:$E$225,MATCH("NCINV#"&amp;5,TB!$H$6:$H$225,0)))/RND)</f>
        <v/>
      </c>
    </row>
    <row r="114" ht="15" customHeight="1" s="90">
      <c r="B114" s="167" t="inlineStr">
        <is>
          <t>Other items (grouped)</t>
        </is>
      </c>
      <c r="C114" s="168">
        <f>1*Calc!$B$17/RND-SUM(C109:C113)</f>
        <v/>
      </c>
      <c r="D114" s="168">
        <f>1*Calc!$C$17/RND-SUM(D109:D113)</f>
        <v/>
      </c>
    </row>
    <row r="115" ht="15" customHeight="1" s="90">
      <c r="B115" s="170" t="inlineStr">
        <is>
          <t>Total</t>
        </is>
      </c>
      <c r="C115" s="171">
        <f>1*Calc!$B$17/RND</f>
        <v/>
      </c>
      <c r="D115" s="171">
        <f>1*Calc!$C$17/RND</f>
        <v/>
      </c>
    </row>
    <row r="117" ht="15" customHeight="1" s="90">
      <c r="B117" s="122">
        <f>"Note "&amp;BS!$C$30&amp;" - Long-term loans and advances"</f>
        <v/>
      </c>
    </row>
    <row r="118" ht="27.75" customHeight="1" s="90">
      <c r="B118" s="165" t="inlineStr">
        <is>
          <t>Particulars</t>
        </is>
      </c>
      <c r="C118" s="166">
        <f>"As at "&amp;TEXT(BSD,"dd mmmm yyyy")</f>
        <v/>
      </c>
      <c r="D118" s="166">
        <f>"As at "&amp;TEXT(PBSD,"dd mmmm yyyy")</f>
        <v/>
      </c>
    </row>
    <row r="119" ht="15" customHeight="1" s="90">
      <c r="B119" s="167">
        <f>IFERROR(INDEX(TB!$A$6:$A$225,MATCH("LTLA#"&amp;1,TB!$H$6:$H$225,0)),"")</f>
        <v/>
      </c>
      <c r="C119" s="168">
        <f>IF(B119="","",1*(INDEX(TB!$B$6:$B$225,MATCH("LTLA#"&amp;1,TB!$H$6:$H$225,0))-INDEX(TB!$C$6:$C$225,MATCH("LTLA#"&amp;1,TB!$H$6:$H$225,0)))/RND)</f>
        <v/>
      </c>
      <c r="D119" s="168">
        <f>IF(B119="","",1*(INDEX(TB!$D$6:$D$225,MATCH("LTLA#"&amp;1,TB!$H$6:$H$225,0))-INDEX(TB!$E$6:$E$225,MATCH("LTLA#"&amp;1,TB!$H$6:$H$225,0)))/RND)</f>
        <v/>
      </c>
    </row>
    <row r="120" ht="15" customHeight="1" s="90">
      <c r="B120" s="167">
        <f>IFERROR(INDEX(TB!$A$6:$A$225,MATCH("LTLA#"&amp;2,TB!$H$6:$H$225,0)),"")</f>
        <v/>
      </c>
      <c r="C120" s="168">
        <f>IF(B120="","",1*(INDEX(TB!$B$6:$B$225,MATCH("LTLA#"&amp;2,TB!$H$6:$H$225,0))-INDEX(TB!$C$6:$C$225,MATCH("LTLA#"&amp;2,TB!$H$6:$H$225,0)))/RND)</f>
        <v/>
      </c>
      <c r="D120" s="168">
        <f>IF(B120="","",1*(INDEX(TB!$D$6:$D$225,MATCH("LTLA#"&amp;2,TB!$H$6:$H$225,0))-INDEX(TB!$E$6:$E$225,MATCH("LTLA#"&amp;2,TB!$H$6:$H$225,0)))/RND)</f>
        <v/>
      </c>
    </row>
    <row r="121" ht="15" customHeight="1" s="90">
      <c r="B121" s="167">
        <f>IFERROR(INDEX(TB!$A$6:$A$225,MATCH("LTLA#"&amp;3,TB!$H$6:$H$225,0)),"")</f>
        <v/>
      </c>
      <c r="C121" s="168">
        <f>IF(B121="","",1*(INDEX(TB!$B$6:$B$225,MATCH("LTLA#"&amp;3,TB!$H$6:$H$225,0))-INDEX(TB!$C$6:$C$225,MATCH("LTLA#"&amp;3,TB!$H$6:$H$225,0)))/RND)</f>
        <v/>
      </c>
      <c r="D121" s="168">
        <f>IF(B121="","",1*(INDEX(TB!$D$6:$D$225,MATCH("LTLA#"&amp;3,TB!$H$6:$H$225,0))-INDEX(TB!$E$6:$E$225,MATCH("LTLA#"&amp;3,TB!$H$6:$H$225,0)))/RND)</f>
        <v/>
      </c>
    </row>
    <row r="122" ht="15" customHeight="1" s="90">
      <c r="B122" s="167">
        <f>IFERROR(INDEX(TB!$A$6:$A$225,MATCH("LTLA#"&amp;4,TB!$H$6:$H$225,0)),"")</f>
        <v/>
      </c>
      <c r="C122" s="168">
        <f>IF(B122="","",1*(INDEX(TB!$B$6:$B$225,MATCH("LTLA#"&amp;4,TB!$H$6:$H$225,0))-INDEX(TB!$C$6:$C$225,MATCH("LTLA#"&amp;4,TB!$H$6:$H$225,0)))/RND)</f>
        <v/>
      </c>
      <c r="D122" s="168">
        <f>IF(B122="","",1*(INDEX(TB!$D$6:$D$225,MATCH("LTLA#"&amp;4,TB!$H$6:$H$225,0))-INDEX(TB!$E$6:$E$225,MATCH("LTLA#"&amp;4,TB!$H$6:$H$225,0)))/RND)</f>
        <v/>
      </c>
    </row>
    <row r="123" ht="15" customHeight="1" s="90">
      <c r="B123" s="167">
        <f>IFERROR(INDEX(TB!$A$6:$A$225,MATCH("LTLA#"&amp;5,TB!$H$6:$H$225,0)),"")</f>
        <v/>
      </c>
      <c r="C123" s="168">
        <f>IF(B123="","",1*(INDEX(TB!$B$6:$B$225,MATCH("LTLA#"&amp;5,TB!$H$6:$H$225,0))-INDEX(TB!$C$6:$C$225,MATCH("LTLA#"&amp;5,TB!$H$6:$H$225,0)))/RND)</f>
        <v/>
      </c>
      <c r="D123" s="168">
        <f>IF(B123="","",1*(INDEX(TB!$D$6:$D$225,MATCH("LTLA#"&amp;5,TB!$H$6:$H$225,0))-INDEX(TB!$E$6:$E$225,MATCH("LTLA#"&amp;5,TB!$H$6:$H$225,0)))/RND)</f>
        <v/>
      </c>
    </row>
    <row r="124" ht="15" customHeight="1" s="90">
      <c r="B124" s="167" t="inlineStr">
        <is>
          <t>Other items (grouped)</t>
        </is>
      </c>
      <c r="C124" s="168">
        <f>1*Calc!$B$19/RND-SUM(C119:C123)</f>
        <v/>
      </c>
      <c r="D124" s="168">
        <f>1*Calc!$C$19/RND-SUM(D119:D123)</f>
        <v/>
      </c>
    </row>
    <row r="125" ht="15" customHeight="1" s="90">
      <c r="B125" s="170" t="inlineStr">
        <is>
          <t>Total</t>
        </is>
      </c>
      <c r="C125" s="171">
        <f>1*Calc!$B$19/RND</f>
        <v/>
      </c>
      <c r="D125" s="171">
        <f>1*Calc!$C$19/RND</f>
        <v/>
      </c>
    </row>
    <row r="127" ht="15" customHeight="1" s="90">
      <c r="B127" s="122">
        <f>"Note "&amp;BS!$C$31&amp;" - Other non-current assets"</f>
        <v/>
      </c>
    </row>
    <row r="128" ht="27.75" customHeight="1" s="90">
      <c r="B128" s="165" t="inlineStr">
        <is>
          <t>Particulars</t>
        </is>
      </c>
      <c r="C128" s="166">
        <f>"As at "&amp;TEXT(BSD,"dd mmmm yyyy")</f>
        <v/>
      </c>
      <c r="D128" s="166">
        <f>"As at "&amp;TEXT(PBSD,"dd mmmm yyyy")</f>
        <v/>
      </c>
    </row>
    <row r="129" ht="15" customHeight="1" s="90">
      <c r="B129" s="167">
        <f>IFERROR(INDEX(TB!$A$6:$A$225,MATCH("ONCA#"&amp;1,TB!$H$6:$H$225,0)),"")</f>
        <v/>
      </c>
      <c r="C129" s="168">
        <f>IF(B129="","",1*(INDEX(TB!$B$6:$B$225,MATCH("ONCA#"&amp;1,TB!$H$6:$H$225,0))-INDEX(TB!$C$6:$C$225,MATCH("ONCA#"&amp;1,TB!$H$6:$H$225,0)))/RND)</f>
        <v/>
      </c>
      <c r="D129" s="168">
        <f>IF(B129="","",1*(INDEX(TB!$D$6:$D$225,MATCH("ONCA#"&amp;1,TB!$H$6:$H$225,0))-INDEX(TB!$E$6:$E$225,MATCH("ONCA#"&amp;1,TB!$H$6:$H$225,0)))/RND)</f>
        <v/>
      </c>
    </row>
    <row r="130" ht="15" customHeight="1" s="90">
      <c r="B130" s="167">
        <f>IFERROR(INDEX(TB!$A$6:$A$225,MATCH("ONCA#"&amp;2,TB!$H$6:$H$225,0)),"")</f>
        <v/>
      </c>
      <c r="C130" s="168">
        <f>IF(B130="","",1*(INDEX(TB!$B$6:$B$225,MATCH("ONCA#"&amp;2,TB!$H$6:$H$225,0))-INDEX(TB!$C$6:$C$225,MATCH("ONCA#"&amp;2,TB!$H$6:$H$225,0)))/RND)</f>
        <v/>
      </c>
      <c r="D130" s="168">
        <f>IF(B130="","",1*(INDEX(TB!$D$6:$D$225,MATCH("ONCA#"&amp;2,TB!$H$6:$H$225,0))-INDEX(TB!$E$6:$E$225,MATCH("ONCA#"&amp;2,TB!$H$6:$H$225,0)))/RND)</f>
        <v/>
      </c>
    </row>
    <row r="131" ht="15" customHeight="1" s="90">
      <c r="B131" s="167">
        <f>IFERROR(INDEX(TB!$A$6:$A$225,MATCH("ONCA#"&amp;3,TB!$H$6:$H$225,0)),"")</f>
        <v/>
      </c>
      <c r="C131" s="168">
        <f>IF(B131="","",1*(INDEX(TB!$B$6:$B$225,MATCH("ONCA#"&amp;3,TB!$H$6:$H$225,0))-INDEX(TB!$C$6:$C$225,MATCH("ONCA#"&amp;3,TB!$H$6:$H$225,0)))/RND)</f>
        <v/>
      </c>
      <c r="D131" s="168">
        <f>IF(B131="","",1*(INDEX(TB!$D$6:$D$225,MATCH("ONCA#"&amp;3,TB!$H$6:$H$225,0))-INDEX(TB!$E$6:$E$225,MATCH("ONCA#"&amp;3,TB!$H$6:$H$225,0)))/RND)</f>
        <v/>
      </c>
    </row>
    <row r="132" ht="15" customHeight="1" s="90">
      <c r="B132" s="167">
        <f>IFERROR(INDEX(TB!$A$6:$A$225,MATCH("ONCA#"&amp;4,TB!$H$6:$H$225,0)),"")</f>
        <v/>
      </c>
      <c r="C132" s="168">
        <f>IF(B132="","",1*(INDEX(TB!$B$6:$B$225,MATCH("ONCA#"&amp;4,TB!$H$6:$H$225,0))-INDEX(TB!$C$6:$C$225,MATCH("ONCA#"&amp;4,TB!$H$6:$H$225,0)))/RND)</f>
        <v/>
      </c>
      <c r="D132" s="168">
        <f>IF(B132="","",1*(INDEX(TB!$D$6:$D$225,MATCH("ONCA#"&amp;4,TB!$H$6:$H$225,0))-INDEX(TB!$E$6:$E$225,MATCH("ONCA#"&amp;4,TB!$H$6:$H$225,0)))/RND)</f>
        <v/>
      </c>
    </row>
    <row r="133" ht="15" customHeight="1" s="90">
      <c r="B133" s="167">
        <f>IFERROR(INDEX(TB!$A$6:$A$225,MATCH("ONCA#"&amp;5,TB!$H$6:$H$225,0)),"")</f>
        <v/>
      </c>
      <c r="C133" s="168">
        <f>IF(B133="","",1*(INDEX(TB!$B$6:$B$225,MATCH("ONCA#"&amp;5,TB!$H$6:$H$225,0))-INDEX(TB!$C$6:$C$225,MATCH("ONCA#"&amp;5,TB!$H$6:$H$225,0)))/RND)</f>
        <v/>
      </c>
      <c r="D133" s="168">
        <f>IF(B133="","",1*(INDEX(TB!$D$6:$D$225,MATCH("ONCA#"&amp;5,TB!$H$6:$H$225,0))-INDEX(TB!$E$6:$E$225,MATCH("ONCA#"&amp;5,TB!$H$6:$H$225,0)))/RND)</f>
        <v/>
      </c>
    </row>
    <row r="134" ht="15" customHeight="1" s="90">
      <c r="B134" s="167" t="inlineStr">
        <is>
          <t>Other items (grouped)</t>
        </is>
      </c>
      <c r="C134" s="168">
        <f>1*Calc!$B$20/RND-SUM(C129:C133)</f>
        <v/>
      </c>
      <c r="D134" s="168">
        <f>1*Calc!$C$20/RND-SUM(D129:D133)</f>
        <v/>
      </c>
    </row>
    <row r="135" ht="15" customHeight="1" s="90">
      <c r="B135" s="170" t="inlineStr">
        <is>
          <t>Total</t>
        </is>
      </c>
      <c r="C135" s="171">
        <f>1*Calc!$B$20/RND</f>
        <v/>
      </c>
      <c r="D135" s="171">
        <f>1*Calc!$C$20/RND</f>
        <v/>
      </c>
    </row>
    <row r="137" ht="15" customHeight="1" s="90">
      <c r="B137" s="122">
        <f>"Note "&amp;BS!$C$34&amp;" - Current investments"</f>
        <v/>
      </c>
    </row>
    <row r="138" ht="27.75" customHeight="1" s="90">
      <c r="B138" s="165" t="inlineStr">
        <is>
          <t>Particulars</t>
        </is>
      </c>
      <c r="C138" s="166">
        <f>"As at "&amp;TEXT(BSD,"dd mmmm yyyy")</f>
        <v/>
      </c>
      <c r="D138" s="166">
        <f>"As at "&amp;TEXT(PBSD,"dd mmmm yyyy")</f>
        <v/>
      </c>
    </row>
    <row r="139" ht="15" customHeight="1" s="90">
      <c r="B139" s="167">
        <f>IFERROR(INDEX(TB!$A$6:$A$225,MATCH("CINV#"&amp;1,TB!$H$6:$H$225,0)),"")</f>
        <v/>
      </c>
      <c r="C139" s="168">
        <f>IF(B139="","",1*(INDEX(TB!$B$6:$B$225,MATCH("CINV#"&amp;1,TB!$H$6:$H$225,0))-INDEX(TB!$C$6:$C$225,MATCH("CINV#"&amp;1,TB!$H$6:$H$225,0)))/RND)</f>
        <v/>
      </c>
      <c r="D139" s="168">
        <f>IF(B139="","",1*(INDEX(TB!$D$6:$D$225,MATCH("CINV#"&amp;1,TB!$H$6:$H$225,0))-INDEX(TB!$E$6:$E$225,MATCH("CINV#"&amp;1,TB!$H$6:$H$225,0)))/RND)</f>
        <v/>
      </c>
    </row>
    <row r="140" ht="15" customHeight="1" s="90">
      <c r="B140" s="167">
        <f>IFERROR(INDEX(TB!$A$6:$A$225,MATCH("CINV#"&amp;2,TB!$H$6:$H$225,0)),"")</f>
        <v/>
      </c>
      <c r="C140" s="168">
        <f>IF(B140="","",1*(INDEX(TB!$B$6:$B$225,MATCH("CINV#"&amp;2,TB!$H$6:$H$225,0))-INDEX(TB!$C$6:$C$225,MATCH("CINV#"&amp;2,TB!$H$6:$H$225,0)))/RND)</f>
        <v/>
      </c>
      <c r="D140" s="168">
        <f>IF(B140="","",1*(INDEX(TB!$D$6:$D$225,MATCH("CINV#"&amp;2,TB!$H$6:$H$225,0))-INDEX(TB!$E$6:$E$225,MATCH("CINV#"&amp;2,TB!$H$6:$H$225,0)))/RND)</f>
        <v/>
      </c>
    </row>
    <row r="141" ht="15" customHeight="1" s="90">
      <c r="B141" s="167">
        <f>IFERROR(INDEX(TB!$A$6:$A$225,MATCH("CINV#"&amp;3,TB!$H$6:$H$225,0)),"")</f>
        <v/>
      </c>
      <c r="C141" s="168">
        <f>IF(B141="","",1*(INDEX(TB!$B$6:$B$225,MATCH("CINV#"&amp;3,TB!$H$6:$H$225,0))-INDEX(TB!$C$6:$C$225,MATCH("CINV#"&amp;3,TB!$H$6:$H$225,0)))/RND)</f>
        <v/>
      </c>
      <c r="D141" s="168">
        <f>IF(B141="","",1*(INDEX(TB!$D$6:$D$225,MATCH("CINV#"&amp;3,TB!$H$6:$H$225,0))-INDEX(TB!$E$6:$E$225,MATCH("CINV#"&amp;3,TB!$H$6:$H$225,0)))/RND)</f>
        <v/>
      </c>
    </row>
    <row r="142" ht="15" customHeight="1" s="90">
      <c r="B142" s="167">
        <f>IFERROR(INDEX(TB!$A$6:$A$225,MATCH("CINV#"&amp;4,TB!$H$6:$H$225,0)),"")</f>
        <v/>
      </c>
      <c r="C142" s="168">
        <f>IF(B142="","",1*(INDEX(TB!$B$6:$B$225,MATCH("CINV#"&amp;4,TB!$H$6:$H$225,0))-INDEX(TB!$C$6:$C$225,MATCH("CINV#"&amp;4,TB!$H$6:$H$225,0)))/RND)</f>
        <v/>
      </c>
      <c r="D142" s="168">
        <f>IF(B142="","",1*(INDEX(TB!$D$6:$D$225,MATCH("CINV#"&amp;4,TB!$H$6:$H$225,0))-INDEX(TB!$E$6:$E$225,MATCH("CINV#"&amp;4,TB!$H$6:$H$225,0)))/RND)</f>
        <v/>
      </c>
    </row>
    <row r="143" ht="15" customHeight="1" s="90">
      <c r="B143" s="167" t="inlineStr">
        <is>
          <t>Other items (grouped)</t>
        </is>
      </c>
      <c r="C143" s="168">
        <f>1*Calc!$B$21/RND-SUM(C139:C142)</f>
        <v/>
      </c>
      <c r="D143" s="168">
        <f>1*Calc!$C$21/RND-SUM(D139:D142)</f>
        <v/>
      </c>
    </row>
    <row r="144" ht="15" customHeight="1" s="90">
      <c r="B144" s="170" t="inlineStr">
        <is>
          <t>Total</t>
        </is>
      </c>
      <c r="C144" s="171">
        <f>1*Calc!$B$21/RND</f>
        <v/>
      </c>
      <c r="D144" s="171">
        <f>1*Calc!$C$21/RND</f>
        <v/>
      </c>
    </row>
    <row r="146" ht="15" customHeight="1" s="90">
      <c r="B146" s="122">
        <f>"Note "&amp;BS!$C$35&amp;" - Inventories"</f>
        <v/>
      </c>
    </row>
    <row r="147" ht="27.75" customHeight="1" s="90">
      <c r="B147" s="165" t="inlineStr">
        <is>
          <t>Particulars</t>
        </is>
      </c>
      <c r="C147" s="166">
        <f>"As at "&amp;TEXT(BSD,"dd mmmm yyyy")</f>
        <v/>
      </c>
      <c r="D147" s="166">
        <f>"As at "&amp;TEXT(PBSD,"dd mmmm yyyy")</f>
        <v/>
      </c>
    </row>
    <row r="148" ht="15" customHeight="1" s="90">
      <c r="B148" s="167">
        <f>IFERROR(INDEX(TB!$A$6:$A$225,MATCH("INVTY#"&amp;1,TB!$H$6:$H$225,0)),"")</f>
        <v/>
      </c>
      <c r="C148" s="168">
        <f>IF(B148="","",1*(INDEX(TB!$B$6:$B$225,MATCH("INVTY#"&amp;1,TB!$H$6:$H$225,0))-INDEX(TB!$C$6:$C$225,MATCH("INVTY#"&amp;1,TB!$H$6:$H$225,0)))/RND)</f>
        <v/>
      </c>
      <c r="D148" s="168">
        <f>IF(B148="","",1*(INDEX(TB!$D$6:$D$225,MATCH("INVTY#"&amp;1,TB!$H$6:$H$225,0))-INDEX(TB!$E$6:$E$225,MATCH("INVTY#"&amp;1,TB!$H$6:$H$225,0)))/RND)</f>
        <v/>
      </c>
    </row>
    <row r="149" ht="15" customHeight="1" s="90">
      <c r="B149" s="167">
        <f>IFERROR(INDEX(TB!$A$6:$A$225,MATCH("INVTY#"&amp;2,TB!$H$6:$H$225,0)),"")</f>
        <v/>
      </c>
      <c r="C149" s="168">
        <f>IF(B149="","",1*(INDEX(TB!$B$6:$B$225,MATCH("INVTY#"&amp;2,TB!$H$6:$H$225,0))-INDEX(TB!$C$6:$C$225,MATCH("INVTY#"&amp;2,TB!$H$6:$H$225,0)))/RND)</f>
        <v/>
      </c>
      <c r="D149" s="168">
        <f>IF(B149="","",1*(INDEX(TB!$D$6:$D$225,MATCH("INVTY#"&amp;2,TB!$H$6:$H$225,0))-INDEX(TB!$E$6:$E$225,MATCH("INVTY#"&amp;2,TB!$H$6:$H$225,0)))/RND)</f>
        <v/>
      </c>
    </row>
    <row r="150" ht="15" customHeight="1" s="90">
      <c r="B150" s="167">
        <f>IFERROR(INDEX(TB!$A$6:$A$225,MATCH("INVTY#"&amp;3,TB!$H$6:$H$225,0)),"")</f>
        <v/>
      </c>
      <c r="C150" s="168">
        <f>IF(B150="","",1*(INDEX(TB!$B$6:$B$225,MATCH("INVTY#"&amp;3,TB!$H$6:$H$225,0))-INDEX(TB!$C$6:$C$225,MATCH("INVTY#"&amp;3,TB!$H$6:$H$225,0)))/RND)</f>
        <v/>
      </c>
      <c r="D150" s="168">
        <f>IF(B150="","",1*(INDEX(TB!$D$6:$D$225,MATCH("INVTY#"&amp;3,TB!$H$6:$H$225,0))-INDEX(TB!$E$6:$E$225,MATCH("INVTY#"&amp;3,TB!$H$6:$H$225,0)))/RND)</f>
        <v/>
      </c>
    </row>
    <row r="151" ht="15" customHeight="1" s="90">
      <c r="B151" s="167">
        <f>IFERROR(INDEX(TB!$A$6:$A$225,MATCH("INVTY#"&amp;4,TB!$H$6:$H$225,0)),"")</f>
        <v/>
      </c>
      <c r="C151" s="168">
        <f>IF(B151="","",1*(INDEX(TB!$B$6:$B$225,MATCH("INVTY#"&amp;4,TB!$H$6:$H$225,0))-INDEX(TB!$C$6:$C$225,MATCH("INVTY#"&amp;4,TB!$H$6:$H$225,0)))/RND)</f>
        <v/>
      </c>
      <c r="D151" s="168">
        <f>IF(B151="","",1*(INDEX(TB!$D$6:$D$225,MATCH("INVTY#"&amp;4,TB!$H$6:$H$225,0))-INDEX(TB!$E$6:$E$225,MATCH("INVTY#"&amp;4,TB!$H$6:$H$225,0)))/RND)</f>
        <v/>
      </c>
    </row>
    <row r="152" ht="15" customHeight="1" s="90">
      <c r="B152" s="167">
        <f>IFERROR(INDEX(TB!$A$6:$A$225,MATCH("INVTY#"&amp;5,TB!$H$6:$H$225,0)),"")</f>
        <v/>
      </c>
      <c r="C152" s="168">
        <f>IF(B152="","",1*(INDEX(TB!$B$6:$B$225,MATCH("INVTY#"&amp;5,TB!$H$6:$H$225,0))-INDEX(TB!$C$6:$C$225,MATCH("INVTY#"&amp;5,TB!$H$6:$H$225,0)))/RND)</f>
        <v/>
      </c>
      <c r="D152" s="168">
        <f>IF(B152="","",1*(INDEX(TB!$D$6:$D$225,MATCH("INVTY#"&amp;5,TB!$H$6:$H$225,0))-INDEX(TB!$E$6:$E$225,MATCH("INVTY#"&amp;5,TB!$H$6:$H$225,0)))/RND)</f>
        <v/>
      </c>
    </row>
    <row r="153" ht="15" customHeight="1" s="90">
      <c r="B153" s="167">
        <f>IFERROR(INDEX(TB!$A$6:$A$225,MATCH("INVTY#"&amp;6,TB!$H$6:$H$225,0)),"")</f>
        <v/>
      </c>
      <c r="C153" s="168">
        <f>IF(B153="","",1*(INDEX(TB!$B$6:$B$225,MATCH("INVTY#"&amp;6,TB!$H$6:$H$225,0))-INDEX(TB!$C$6:$C$225,MATCH("INVTY#"&amp;6,TB!$H$6:$H$225,0)))/RND)</f>
        <v/>
      </c>
      <c r="D153" s="168">
        <f>IF(B153="","",1*(INDEX(TB!$D$6:$D$225,MATCH("INVTY#"&amp;6,TB!$H$6:$H$225,0))-INDEX(TB!$E$6:$E$225,MATCH("INVTY#"&amp;6,TB!$H$6:$H$225,0)))/RND)</f>
        <v/>
      </c>
    </row>
    <row r="154" ht="15" customHeight="1" s="90">
      <c r="B154" s="167" t="inlineStr">
        <is>
          <t>Other items (grouped)</t>
        </is>
      </c>
      <c r="C154" s="168">
        <f>1*Calc!$B$22/RND-SUM(C148:C153)</f>
        <v/>
      </c>
      <c r="D154" s="168">
        <f>1*Calc!$C$22/RND-SUM(D148:D153)</f>
        <v/>
      </c>
    </row>
    <row r="155" ht="15" customHeight="1" s="90">
      <c r="B155" s="170" t="inlineStr">
        <is>
          <t>Total</t>
        </is>
      </c>
      <c r="C155" s="171">
        <f>1*Calc!$B$22/RND</f>
        <v/>
      </c>
      <c r="D155" s="171">
        <f>1*Calc!$C$22/RND</f>
        <v/>
      </c>
    </row>
    <row r="157" ht="15" customHeight="1" s="90">
      <c r="B157" s="122">
        <f>"Note "&amp;BS!$C$36&amp;" - Trade receivables"</f>
        <v/>
      </c>
    </row>
    <row r="158" ht="27.75" customHeight="1" s="90">
      <c r="B158" s="165" t="inlineStr">
        <is>
          <t>Particulars</t>
        </is>
      </c>
      <c r="C158" s="166">
        <f>"As at "&amp;TEXT(BSD,"dd mmmm yyyy")</f>
        <v/>
      </c>
      <c r="D158" s="166">
        <f>"As at "&amp;TEXT(PBSD,"dd mmmm yyyy")</f>
        <v/>
      </c>
    </row>
    <row r="159" ht="15" customHeight="1" s="90">
      <c r="B159" s="167" t="inlineStr">
        <is>
          <t>Unsecured, considered good</t>
        </is>
      </c>
      <c r="C159" s="168">
        <f>Calc!$B$23/RND</f>
        <v/>
      </c>
      <c r="D159" s="168">
        <f>Calc!$C$23/RND</f>
        <v/>
      </c>
    </row>
    <row r="160" ht="15" customHeight="1" s="90">
      <c r="B160" s="167" t="inlineStr">
        <is>
          <t>Considered doubtful</t>
        </is>
      </c>
      <c r="C160" s="169" t="n">
        <v>0</v>
      </c>
      <c r="D160" s="169" t="n">
        <v>0</v>
      </c>
    </row>
    <row r="161" ht="15" customHeight="1" s="90">
      <c r="B161" s="167" t="inlineStr">
        <is>
          <t>Less: allowance for doubtful debts</t>
        </is>
      </c>
      <c r="C161" s="169" t="n">
        <v>0</v>
      </c>
      <c r="D161" s="169" t="n">
        <v>0</v>
      </c>
    </row>
    <row r="162" ht="15" customHeight="1" s="90">
      <c r="B162" s="170" t="inlineStr">
        <is>
          <t>Total</t>
        </is>
      </c>
      <c r="C162" s="171">
        <f>C159+C160-C161</f>
        <v/>
      </c>
      <c r="D162" s="171">
        <f>D159+D160-D161</f>
        <v/>
      </c>
    </row>
    <row r="164" ht="15" customHeight="1" s="90">
      <c r="B164" s="172" t="inlineStr">
        <is>
          <t>Trade receivables ageing schedule</t>
        </is>
      </c>
    </row>
    <row r="165" ht="31.5" customHeight="1" s="90">
      <c r="B165" s="165" t="inlineStr">
        <is>
          <t>Outstanding for the following periods from the due date</t>
        </is>
      </c>
      <c r="C165" s="166" t="inlineStr">
        <is>
          <t>Less than 6 months</t>
        </is>
      </c>
      <c r="D165" s="166" t="inlineStr">
        <is>
          <t>6 months - 1 year</t>
        </is>
      </c>
      <c r="E165" s="166" t="inlineStr">
        <is>
          <t>1-2 years</t>
        </is>
      </c>
      <c r="F165" s="166" t="inlineStr">
        <is>
          <t>2-3 years</t>
        </is>
      </c>
      <c r="G165" s="166" t="inlineStr">
        <is>
          <t>More than 3 years</t>
        </is>
      </c>
      <c r="H165" s="166" t="inlineStr">
        <is>
          <t>Total</t>
        </is>
      </c>
    </row>
    <row r="166" ht="15" customHeight="1" s="90">
      <c r="B166" s="167" t="inlineStr">
        <is>
          <t>(i) Undisputed - considered good</t>
        </is>
      </c>
      <c r="C166" s="169" t="n">
        <v>0</v>
      </c>
      <c r="D166" s="169" t="n">
        <v>0</v>
      </c>
      <c r="E166" s="169" t="n">
        <v>0</v>
      </c>
      <c r="F166" s="169" t="n">
        <v>0</v>
      </c>
      <c r="G166" s="169" t="n">
        <v>0</v>
      </c>
      <c r="H166" s="168">
        <f>SUM(C166:G166)</f>
        <v/>
      </c>
    </row>
    <row r="167" ht="15" customHeight="1" s="90">
      <c r="B167" s="167" t="inlineStr">
        <is>
          <t>(ii) Undisputed - considered doubtful</t>
        </is>
      </c>
      <c r="C167" s="169" t="n">
        <v>0</v>
      </c>
      <c r="D167" s="169" t="n">
        <v>0</v>
      </c>
      <c r="E167" s="169" t="n">
        <v>0</v>
      </c>
      <c r="F167" s="169" t="n">
        <v>0</v>
      </c>
      <c r="G167" s="169" t="n">
        <v>0</v>
      </c>
      <c r="H167" s="168">
        <f>SUM(C167:G167)</f>
        <v/>
      </c>
    </row>
    <row r="168" ht="15" customHeight="1" s="90">
      <c r="B168" s="167" t="inlineStr">
        <is>
          <t>(iii) Disputed - considered good</t>
        </is>
      </c>
      <c r="C168" s="169" t="n">
        <v>0</v>
      </c>
      <c r="D168" s="169" t="n">
        <v>0</v>
      </c>
      <c r="E168" s="169" t="n">
        <v>0</v>
      </c>
      <c r="F168" s="169" t="n">
        <v>0</v>
      </c>
      <c r="G168" s="169" t="n">
        <v>0</v>
      </c>
      <c r="H168" s="168">
        <f>SUM(C168:G168)</f>
        <v/>
      </c>
    </row>
    <row r="169" ht="15" customHeight="1" s="90">
      <c r="B169" s="167" t="inlineStr">
        <is>
          <t>(iv) Disputed - considered doubtful</t>
        </is>
      </c>
      <c r="C169" s="169" t="n">
        <v>0</v>
      </c>
      <c r="D169" s="169" t="n">
        <v>0</v>
      </c>
      <c r="E169" s="169" t="n">
        <v>0</v>
      </c>
      <c r="F169" s="169" t="n">
        <v>0</v>
      </c>
      <c r="G169" s="169" t="n">
        <v>0</v>
      </c>
      <c r="H169" s="168">
        <f>SUM(C169:G169)</f>
        <v/>
      </c>
    </row>
    <row r="170" ht="15" customHeight="1" s="90">
      <c r="B170" s="170" t="inlineStr">
        <is>
          <t>Total</t>
        </is>
      </c>
      <c r="C170" s="171">
        <f>SUM(C166:C169)</f>
        <v/>
      </c>
      <c r="D170" s="171">
        <f>SUM(D166:D169)</f>
        <v/>
      </c>
      <c r="E170" s="171">
        <f>SUM(E166:E169)</f>
        <v/>
      </c>
      <c r="F170" s="171">
        <f>SUM(F166:F169)</f>
        <v/>
      </c>
      <c r="G170" s="171">
        <f>SUM(G166:G169)</f>
        <v/>
      </c>
      <c r="H170" s="171">
        <f>SUM(H166:H169)</f>
        <v/>
      </c>
    </row>
    <row r="171" ht="31.5" customHeight="1" s="90">
      <c r="B171" s="164" t="inlineStr">
        <is>
          <t>Check: ageing total vs trade receivables (0 expected)</t>
        </is>
      </c>
      <c r="H171" s="168">
        <f>H170-C162</f>
        <v/>
      </c>
    </row>
    <row r="173" ht="15" customHeight="1" s="90">
      <c r="B173" s="122">
        <f>"Note "&amp;BS!$C$37&amp;" - Cash and cash equivalents"</f>
        <v/>
      </c>
    </row>
    <row r="174" ht="27.75" customHeight="1" s="90">
      <c r="B174" s="165" t="inlineStr">
        <is>
          <t>Particulars</t>
        </is>
      </c>
      <c r="C174" s="166">
        <f>"As at "&amp;TEXT(BSD,"dd mmmm yyyy")</f>
        <v/>
      </c>
      <c r="D174" s="166">
        <f>"As at "&amp;TEXT(PBSD,"dd mmmm yyyy")</f>
        <v/>
      </c>
    </row>
    <row r="175" ht="15" customHeight="1" s="90">
      <c r="B175" s="167">
        <f>IFERROR(INDEX(TB!$A$6:$A$225,MATCH("CASH#"&amp;1,TB!$H$6:$H$225,0)),"")</f>
        <v/>
      </c>
      <c r="C175" s="168">
        <f>IF(B175="","",1*(INDEX(TB!$B$6:$B$225,MATCH("CASH#"&amp;1,TB!$H$6:$H$225,0))-INDEX(TB!$C$6:$C$225,MATCH("CASH#"&amp;1,TB!$H$6:$H$225,0)))/RND)</f>
        <v/>
      </c>
      <c r="D175" s="168">
        <f>IF(B175="","",1*(INDEX(TB!$D$6:$D$225,MATCH("CASH#"&amp;1,TB!$H$6:$H$225,0))-INDEX(TB!$E$6:$E$225,MATCH("CASH#"&amp;1,TB!$H$6:$H$225,0)))/RND)</f>
        <v/>
      </c>
    </row>
    <row r="176" ht="15" customHeight="1" s="90">
      <c r="B176" s="167">
        <f>IFERROR(INDEX(TB!$A$6:$A$225,MATCH("CASH#"&amp;2,TB!$H$6:$H$225,0)),"")</f>
        <v/>
      </c>
      <c r="C176" s="168">
        <f>IF(B176="","",1*(INDEX(TB!$B$6:$B$225,MATCH("CASH#"&amp;2,TB!$H$6:$H$225,0))-INDEX(TB!$C$6:$C$225,MATCH("CASH#"&amp;2,TB!$H$6:$H$225,0)))/RND)</f>
        <v/>
      </c>
      <c r="D176" s="168">
        <f>IF(B176="","",1*(INDEX(TB!$D$6:$D$225,MATCH("CASH#"&amp;2,TB!$H$6:$H$225,0))-INDEX(TB!$E$6:$E$225,MATCH("CASH#"&amp;2,TB!$H$6:$H$225,0)))/RND)</f>
        <v/>
      </c>
    </row>
    <row r="177" ht="15" customHeight="1" s="90">
      <c r="B177" s="167">
        <f>IFERROR(INDEX(TB!$A$6:$A$225,MATCH("CASH#"&amp;3,TB!$H$6:$H$225,0)),"")</f>
        <v/>
      </c>
      <c r="C177" s="168">
        <f>IF(B177="","",1*(INDEX(TB!$B$6:$B$225,MATCH("CASH#"&amp;3,TB!$H$6:$H$225,0))-INDEX(TB!$C$6:$C$225,MATCH("CASH#"&amp;3,TB!$H$6:$H$225,0)))/RND)</f>
        <v/>
      </c>
      <c r="D177" s="168">
        <f>IF(B177="","",1*(INDEX(TB!$D$6:$D$225,MATCH("CASH#"&amp;3,TB!$H$6:$H$225,0))-INDEX(TB!$E$6:$E$225,MATCH("CASH#"&amp;3,TB!$H$6:$H$225,0)))/RND)</f>
        <v/>
      </c>
    </row>
    <row r="178" ht="15" customHeight="1" s="90">
      <c r="B178" s="167">
        <f>IFERROR(INDEX(TB!$A$6:$A$225,MATCH("CASH#"&amp;4,TB!$H$6:$H$225,0)),"")</f>
        <v/>
      </c>
      <c r="C178" s="168">
        <f>IF(B178="","",1*(INDEX(TB!$B$6:$B$225,MATCH("CASH#"&amp;4,TB!$H$6:$H$225,0))-INDEX(TB!$C$6:$C$225,MATCH("CASH#"&amp;4,TB!$H$6:$H$225,0)))/RND)</f>
        <v/>
      </c>
      <c r="D178" s="168">
        <f>IF(B178="","",1*(INDEX(TB!$D$6:$D$225,MATCH("CASH#"&amp;4,TB!$H$6:$H$225,0))-INDEX(TB!$E$6:$E$225,MATCH("CASH#"&amp;4,TB!$H$6:$H$225,0)))/RND)</f>
        <v/>
      </c>
    </row>
    <row r="179" ht="15" customHeight="1" s="90">
      <c r="B179" s="167">
        <f>IFERROR(INDEX(TB!$A$6:$A$225,MATCH("CASH#"&amp;5,TB!$H$6:$H$225,0)),"")</f>
        <v/>
      </c>
      <c r="C179" s="168">
        <f>IF(B179="","",1*(INDEX(TB!$B$6:$B$225,MATCH("CASH#"&amp;5,TB!$H$6:$H$225,0))-INDEX(TB!$C$6:$C$225,MATCH("CASH#"&amp;5,TB!$H$6:$H$225,0)))/RND)</f>
        <v/>
      </c>
      <c r="D179" s="168">
        <f>IF(B179="","",1*(INDEX(TB!$D$6:$D$225,MATCH("CASH#"&amp;5,TB!$H$6:$H$225,0))-INDEX(TB!$E$6:$E$225,MATCH("CASH#"&amp;5,TB!$H$6:$H$225,0)))/RND)</f>
        <v/>
      </c>
    </row>
    <row r="180" ht="15" customHeight="1" s="90">
      <c r="B180" s="167">
        <f>IFERROR(INDEX(TB!$A$6:$A$225,MATCH("CASH#"&amp;6,TB!$H$6:$H$225,0)),"")</f>
        <v/>
      </c>
      <c r="C180" s="168">
        <f>IF(B180="","",1*(INDEX(TB!$B$6:$B$225,MATCH("CASH#"&amp;6,TB!$H$6:$H$225,0))-INDEX(TB!$C$6:$C$225,MATCH("CASH#"&amp;6,TB!$H$6:$H$225,0)))/RND)</f>
        <v/>
      </c>
      <c r="D180" s="168">
        <f>IF(B180="","",1*(INDEX(TB!$D$6:$D$225,MATCH("CASH#"&amp;6,TB!$H$6:$H$225,0))-INDEX(TB!$E$6:$E$225,MATCH("CASH#"&amp;6,TB!$H$6:$H$225,0)))/RND)</f>
        <v/>
      </c>
    </row>
    <row r="181" ht="15" customHeight="1" s="90">
      <c r="B181" s="167" t="inlineStr">
        <is>
          <t>Other items (grouped)</t>
        </is>
      </c>
      <c r="C181" s="168">
        <f>1*Calc!$B$24/RND-SUM(C175:C180)</f>
        <v/>
      </c>
      <c r="D181" s="168">
        <f>1*Calc!$C$24/RND-SUM(D175:D180)</f>
        <v/>
      </c>
    </row>
    <row r="182" ht="15" customHeight="1" s="90">
      <c r="B182" s="170" t="inlineStr">
        <is>
          <t>Total</t>
        </is>
      </c>
      <c r="C182" s="171">
        <f>1*Calc!$B$24/RND</f>
        <v/>
      </c>
      <c r="D182" s="171">
        <f>1*Calc!$C$24/RND</f>
        <v/>
      </c>
    </row>
    <row r="184" ht="15" customHeight="1" s="90">
      <c r="B184" s="122">
        <f>"Note "&amp;BS!$C$38&amp;" - Short-term loans and advances"</f>
        <v/>
      </c>
    </row>
    <row r="185" ht="27.75" customHeight="1" s="90">
      <c r="B185" s="165" t="inlineStr">
        <is>
          <t>Particulars</t>
        </is>
      </c>
      <c r="C185" s="166">
        <f>"As at "&amp;TEXT(BSD,"dd mmmm yyyy")</f>
        <v/>
      </c>
      <c r="D185" s="166">
        <f>"As at "&amp;TEXT(PBSD,"dd mmmm yyyy")</f>
        <v/>
      </c>
    </row>
    <row r="186" ht="15" customHeight="1" s="90">
      <c r="B186" s="167">
        <f>IFERROR(INDEX(TB!$A$6:$A$225,MATCH("STLA#"&amp;1,TB!$H$6:$H$225,0)),"")</f>
        <v/>
      </c>
      <c r="C186" s="168">
        <f>IF(B186="","",1*(INDEX(TB!$B$6:$B$225,MATCH("STLA#"&amp;1,TB!$H$6:$H$225,0))-INDEX(TB!$C$6:$C$225,MATCH("STLA#"&amp;1,TB!$H$6:$H$225,0)))/RND)</f>
        <v/>
      </c>
      <c r="D186" s="168">
        <f>IF(B186="","",1*(INDEX(TB!$D$6:$D$225,MATCH("STLA#"&amp;1,TB!$H$6:$H$225,0))-INDEX(TB!$E$6:$E$225,MATCH("STLA#"&amp;1,TB!$H$6:$H$225,0)))/RND)</f>
        <v/>
      </c>
    </row>
    <row r="187" ht="15" customHeight="1" s="90">
      <c r="B187" s="167">
        <f>IFERROR(INDEX(TB!$A$6:$A$225,MATCH("STLA#"&amp;2,TB!$H$6:$H$225,0)),"")</f>
        <v/>
      </c>
      <c r="C187" s="168">
        <f>IF(B187="","",1*(INDEX(TB!$B$6:$B$225,MATCH("STLA#"&amp;2,TB!$H$6:$H$225,0))-INDEX(TB!$C$6:$C$225,MATCH("STLA#"&amp;2,TB!$H$6:$H$225,0)))/RND)</f>
        <v/>
      </c>
      <c r="D187" s="168">
        <f>IF(B187="","",1*(INDEX(TB!$D$6:$D$225,MATCH("STLA#"&amp;2,TB!$H$6:$H$225,0))-INDEX(TB!$E$6:$E$225,MATCH("STLA#"&amp;2,TB!$H$6:$H$225,0)))/RND)</f>
        <v/>
      </c>
    </row>
    <row r="188" ht="15" customHeight="1" s="90">
      <c r="B188" s="167">
        <f>IFERROR(INDEX(TB!$A$6:$A$225,MATCH("STLA#"&amp;3,TB!$H$6:$H$225,0)),"")</f>
        <v/>
      </c>
      <c r="C188" s="168">
        <f>IF(B188="","",1*(INDEX(TB!$B$6:$B$225,MATCH("STLA#"&amp;3,TB!$H$6:$H$225,0))-INDEX(TB!$C$6:$C$225,MATCH("STLA#"&amp;3,TB!$H$6:$H$225,0)))/RND)</f>
        <v/>
      </c>
      <c r="D188" s="168">
        <f>IF(B188="","",1*(INDEX(TB!$D$6:$D$225,MATCH("STLA#"&amp;3,TB!$H$6:$H$225,0))-INDEX(TB!$E$6:$E$225,MATCH("STLA#"&amp;3,TB!$H$6:$H$225,0)))/RND)</f>
        <v/>
      </c>
    </row>
    <row r="189" ht="15" customHeight="1" s="90">
      <c r="B189" s="167">
        <f>IFERROR(INDEX(TB!$A$6:$A$225,MATCH("STLA#"&amp;4,TB!$H$6:$H$225,0)),"")</f>
        <v/>
      </c>
      <c r="C189" s="168">
        <f>IF(B189="","",1*(INDEX(TB!$B$6:$B$225,MATCH("STLA#"&amp;4,TB!$H$6:$H$225,0))-INDEX(TB!$C$6:$C$225,MATCH("STLA#"&amp;4,TB!$H$6:$H$225,0)))/RND)</f>
        <v/>
      </c>
      <c r="D189" s="168">
        <f>IF(B189="","",1*(INDEX(TB!$D$6:$D$225,MATCH("STLA#"&amp;4,TB!$H$6:$H$225,0))-INDEX(TB!$E$6:$E$225,MATCH("STLA#"&amp;4,TB!$H$6:$H$225,0)))/RND)</f>
        <v/>
      </c>
    </row>
    <row r="190" ht="15" customHeight="1" s="90">
      <c r="B190" s="167">
        <f>IFERROR(INDEX(TB!$A$6:$A$225,MATCH("STLA#"&amp;5,TB!$H$6:$H$225,0)),"")</f>
        <v/>
      </c>
      <c r="C190" s="168">
        <f>IF(B190="","",1*(INDEX(TB!$B$6:$B$225,MATCH("STLA#"&amp;5,TB!$H$6:$H$225,0))-INDEX(TB!$C$6:$C$225,MATCH("STLA#"&amp;5,TB!$H$6:$H$225,0)))/RND)</f>
        <v/>
      </c>
      <c r="D190" s="168">
        <f>IF(B190="","",1*(INDEX(TB!$D$6:$D$225,MATCH("STLA#"&amp;5,TB!$H$6:$H$225,0))-INDEX(TB!$E$6:$E$225,MATCH("STLA#"&amp;5,TB!$H$6:$H$225,0)))/RND)</f>
        <v/>
      </c>
    </row>
    <row r="191" ht="15" customHeight="1" s="90">
      <c r="B191" s="167">
        <f>IFERROR(INDEX(TB!$A$6:$A$225,MATCH("STLA#"&amp;6,TB!$H$6:$H$225,0)),"")</f>
        <v/>
      </c>
      <c r="C191" s="168">
        <f>IF(B191="","",1*(INDEX(TB!$B$6:$B$225,MATCH("STLA#"&amp;6,TB!$H$6:$H$225,0))-INDEX(TB!$C$6:$C$225,MATCH("STLA#"&amp;6,TB!$H$6:$H$225,0)))/RND)</f>
        <v/>
      </c>
      <c r="D191" s="168">
        <f>IF(B191="","",1*(INDEX(TB!$D$6:$D$225,MATCH("STLA#"&amp;6,TB!$H$6:$H$225,0))-INDEX(TB!$E$6:$E$225,MATCH("STLA#"&amp;6,TB!$H$6:$H$225,0)))/RND)</f>
        <v/>
      </c>
    </row>
    <row r="192" ht="15" customHeight="1" s="90">
      <c r="B192" s="167" t="inlineStr">
        <is>
          <t>Other items (grouped)</t>
        </is>
      </c>
      <c r="C192" s="168">
        <f>1*Calc!$B$25/RND-SUM(C186:C191)</f>
        <v/>
      </c>
      <c r="D192" s="168">
        <f>1*Calc!$C$25/RND-SUM(D186:D191)</f>
        <v/>
      </c>
    </row>
    <row r="193" ht="15" customHeight="1" s="90">
      <c r="B193" s="170" t="inlineStr">
        <is>
          <t>Total</t>
        </is>
      </c>
      <c r="C193" s="171">
        <f>1*Calc!$B$25/RND</f>
        <v/>
      </c>
      <c r="D193" s="171">
        <f>1*Calc!$C$25/RND</f>
        <v/>
      </c>
    </row>
    <row r="195" ht="15" customHeight="1" s="90">
      <c r="B195" s="122">
        <f>"Note "&amp;BS!$C$39&amp;" - Other current assets"</f>
        <v/>
      </c>
    </row>
    <row r="196" ht="27.75" customHeight="1" s="90">
      <c r="B196" s="165" t="inlineStr">
        <is>
          <t>Particulars</t>
        </is>
      </c>
      <c r="C196" s="166">
        <f>"As at "&amp;TEXT(BSD,"dd mmmm yyyy")</f>
        <v/>
      </c>
      <c r="D196" s="166">
        <f>"As at "&amp;TEXT(PBSD,"dd mmmm yyyy")</f>
        <v/>
      </c>
    </row>
    <row r="197" ht="15" customHeight="1" s="90">
      <c r="B197" s="167">
        <f>IFERROR(INDEX(TB!$A$6:$A$225,MATCH("OCA#"&amp;1,TB!$H$6:$H$225,0)),"")</f>
        <v/>
      </c>
      <c r="C197" s="168">
        <f>IF(B197="","",1*(INDEX(TB!$B$6:$B$225,MATCH("OCA#"&amp;1,TB!$H$6:$H$225,0))-INDEX(TB!$C$6:$C$225,MATCH("OCA#"&amp;1,TB!$H$6:$H$225,0)))/RND)</f>
        <v/>
      </c>
      <c r="D197" s="168">
        <f>IF(B197="","",1*(INDEX(TB!$D$6:$D$225,MATCH("OCA#"&amp;1,TB!$H$6:$H$225,0))-INDEX(TB!$E$6:$E$225,MATCH("OCA#"&amp;1,TB!$H$6:$H$225,0)))/RND)</f>
        <v/>
      </c>
    </row>
    <row r="198" ht="15" customHeight="1" s="90">
      <c r="B198" s="167">
        <f>IFERROR(INDEX(TB!$A$6:$A$225,MATCH("OCA#"&amp;2,TB!$H$6:$H$225,0)),"")</f>
        <v/>
      </c>
      <c r="C198" s="168">
        <f>IF(B198="","",1*(INDEX(TB!$B$6:$B$225,MATCH("OCA#"&amp;2,TB!$H$6:$H$225,0))-INDEX(TB!$C$6:$C$225,MATCH("OCA#"&amp;2,TB!$H$6:$H$225,0)))/RND)</f>
        <v/>
      </c>
      <c r="D198" s="168">
        <f>IF(B198="","",1*(INDEX(TB!$D$6:$D$225,MATCH("OCA#"&amp;2,TB!$H$6:$H$225,0))-INDEX(TB!$E$6:$E$225,MATCH("OCA#"&amp;2,TB!$H$6:$H$225,0)))/RND)</f>
        <v/>
      </c>
    </row>
    <row r="199" ht="15" customHeight="1" s="90">
      <c r="B199" s="167">
        <f>IFERROR(INDEX(TB!$A$6:$A$225,MATCH("OCA#"&amp;3,TB!$H$6:$H$225,0)),"")</f>
        <v/>
      </c>
      <c r="C199" s="168">
        <f>IF(B199="","",1*(INDEX(TB!$B$6:$B$225,MATCH("OCA#"&amp;3,TB!$H$6:$H$225,0))-INDEX(TB!$C$6:$C$225,MATCH("OCA#"&amp;3,TB!$H$6:$H$225,0)))/RND)</f>
        <v/>
      </c>
      <c r="D199" s="168">
        <f>IF(B199="","",1*(INDEX(TB!$D$6:$D$225,MATCH("OCA#"&amp;3,TB!$H$6:$H$225,0))-INDEX(TB!$E$6:$E$225,MATCH("OCA#"&amp;3,TB!$H$6:$H$225,0)))/RND)</f>
        <v/>
      </c>
    </row>
    <row r="200" ht="15" customHeight="1" s="90">
      <c r="B200" s="167">
        <f>IFERROR(INDEX(TB!$A$6:$A$225,MATCH("OCA#"&amp;4,TB!$H$6:$H$225,0)),"")</f>
        <v/>
      </c>
      <c r="C200" s="168">
        <f>IF(B200="","",1*(INDEX(TB!$B$6:$B$225,MATCH("OCA#"&amp;4,TB!$H$6:$H$225,0))-INDEX(TB!$C$6:$C$225,MATCH("OCA#"&amp;4,TB!$H$6:$H$225,0)))/RND)</f>
        <v/>
      </c>
      <c r="D200" s="168">
        <f>IF(B200="","",1*(INDEX(TB!$D$6:$D$225,MATCH("OCA#"&amp;4,TB!$H$6:$H$225,0))-INDEX(TB!$E$6:$E$225,MATCH("OCA#"&amp;4,TB!$H$6:$H$225,0)))/RND)</f>
        <v/>
      </c>
    </row>
    <row r="201" ht="15" customHeight="1" s="90">
      <c r="B201" s="167">
        <f>IFERROR(INDEX(TB!$A$6:$A$225,MATCH("OCA#"&amp;5,TB!$H$6:$H$225,0)),"")</f>
        <v/>
      </c>
      <c r="C201" s="168">
        <f>IF(B201="","",1*(INDEX(TB!$B$6:$B$225,MATCH("OCA#"&amp;5,TB!$H$6:$H$225,0))-INDEX(TB!$C$6:$C$225,MATCH("OCA#"&amp;5,TB!$H$6:$H$225,0)))/RND)</f>
        <v/>
      </c>
      <c r="D201" s="168">
        <f>IF(B201="","",1*(INDEX(TB!$D$6:$D$225,MATCH("OCA#"&amp;5,TB!$H$6:$H$225,0))-INDEX(TB!$E$6:$E$225,MATCH("OCA#"&amp;5,TB!$H$6:$H$225,0)))/RND)</f>
        <v/>
      </c>
    </row>
    <row r="202" ht="15" customHeight="1" s="90">
      <c r="B202" s="167" t="inlineStr">
        <is>
          <t>Other items (grouped)</t>
        </is>
      </c>
      <c r="C202" s="168">
        <f>1*Calc!$B$26/RND-SUM(C197:C201)</f>
        <v/>
      </c>
      <c r="D202" s="168">
        <f>1*Calc!$C$26/RND-SUM(D197:D201)</f>
        <v/>
      </c>
    </row>
    <row r="203" ht="15" customHeight="1" s="90">
      <c r="B203" s="170" t="inlineStr">
        <is>
          <t>Total</t>
        </is>
      </c>
      <c r="C203" s="171">
        <f>1*Calc!$B$26/RND</f>
        <v/>
      </c>
      <c r="D203" s="171">
        <f>1*Calc!$C$26/RND</f>
        <v/>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19.xml><?xml version="1.0" encoding="utf-8"?>
<worksheet xmlns="http://schemas.openxmlformats.org/spreadsheetml/2006/main">
  <sheetPr filterMode="0">
    <tabColor rgb="FF1E3A8A"/>
    <outlinePr summaryBelow="1" summaryRight="1"/>
    <pageSetUpPr fitToPage="1"/>
  </sheetPr>
  <dimension ref="A1:J1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89" min="1" max="1"/>
    <col width="14" customWidth="1" style="89" min="2" max="2"/>
    <col width="13" customWidth="1" style="89" min="3" max="3"/>
    <col width="15" customWidth="1" style="89" min="4" max="4"/>
    <col width="14" customWidth="1" style="89" min="5" max="5"/>
    <col width="15" customWidth="1" style="89" min="6" max="6"/>
    <col width="13" customWidth="1" style="89" min="7" max="7"/>
    <col width="16" customWidth="1" style="89" min="8" max="8"/>
    <col width="15" customWidth="1" style="89" min="9" max="9"/>
    <col width="14" customWidth="1" style="89" min="10" max="10"/>
  </cols>
  <sheetData>
    <row r="1" ht="17.25" customHeight="1" s="90">
      <c r="A1" s="121" t="inlineStr">
        <is>
          <t>Depreciation — Companies Act (Schedule II, SLM)</t>
        </is>
      </c>
    </row>
    <row r="2" ht="15" customHeight="1" s="90">
      <c r="A2" s="122">
        <f>Setup!C5</f>
        <v/>
      </c>
      <c r="F2" s="123">
        <f>"FY "&amp;Setup!C8</f>
        <v/>
      </c>
    </row>
    <row r="3" ht="15" customHeight="1" s="90">
      <c r="A3" s="127" t="inlineStr">
        <is>
          <t>Auto-built from the Fixed Asset Register. Figures in Rs.</t>
        </is>
      </c>
    </row>
    <row r="4" ht="15" customHeight="1" s="90">
      <c r="A4" s="97">
        <f>"Note "&amp;BS!$C$25&amp;" to the Balance Sheet — Property, plant and equipment (movement as per Companies Act, Schedule II SLM)"</f>
        <v/>
      </c>
    </row>
    <row r="5" ht="15" customHeight="1" s="90">
      <c r="A5" s="129" t="inlineStr">
        <is>
          <t>Asset class</t>
        </is>
      </c>
      <c r="B5" s="129" t="inlineStr">
        <is>
          <t>Opening gross</t>
        </is>
      </c>
      <c r="C5" s="129" t="inlineStr">
        <is>
          <t>Additions</t>
        </is>
      </c>
      <c r="D5" s="129" t="inlineStr">
        <is>
          <t>Deletions (gross)</t>
        </is>
      </c>
      <c r="E5" s="129" t="inlineStr">
        <is>
          <t>Closing gross</t>
        </is>
      </c>
      <c r="F5" s="129" t="inlineStr">
        <is>
          <t>Opening acc dep</t>
        </is>
      </c>
      <c r="G5" s="129" t="inlineStr">
        <is>
          <t>Dep for year</t>
        </is>
      </c>
      <c r="H5" s="129" t="inlineStr">
        <is>
          <t>Deletions acc dep</t>
        </is>
      </c>
      <c r="I5" s="129" t="inlineStr">
        <is>
          <t>Closing acc dep</t>
        </is>
      </c>
      <c r="J5" s="129" t="inlineStr">
        <is>
          <t>Net block</t>
        </is>
      </c>
    </row>
    <row r="6" ht="15" customHeight="1" s="90">
      <c r="A6" s="140">
        <f>FAR!$T$7</f>
        <v/>
      </c>
      <c r="B6" s="135">
        <f>SUMIFS(FAR!$F$7:$F$46,FAR!$C$7:$C$46,$A6,FAR!$E$7:$E$46,"&lt;"&amp;FAR!$B$3)</f>
        <v/>
      </c>
      <c r="C6" s="135">
        <f>SUMIFS(FAR!$F$7:$F$46,FAR!$C$7:$C$46,$A6,FAR!$E$7:$E$46,"&gt;="&amp;FAR!$B$3)</f>
        <v/>
      </c>
      <c r="D6" s="135">
        <f>SUMIFS(FAR!$F$7:$F$46,FAR!$C$7:$C$46,$A6,FAR!$H$7:$H$46,"&lt;&gt;")</f>
        <v/>
      </c>
      <c r="E6" s="135">
        <f>$B6+$C6-$D6</f>
        <v/>
      </c>
      <c r="F6" s="135">
        <f>SUMIFS(FAR!$G$7:$G$46,FAR!$C$7:$C$46,$A6)</f>
        <v/>
      </c>
      <c r="G6" s="135">
        <f>SUMIFS(FAR!$M$7:$M$46,FAR!$C$7:$C$46,$A6)</f>
        <v/>
      </c>
      <c r="H6" s="135">
        <f>SUMIFS(FAR!$N$7:$N$46,FAR!$C$7:$C$46,$A6,FAR!$H$7:$H$46,"&lt;&gt;")</f>
        <v/>
      </c>
      <c r="I6" s="135">
        <f>$F6+$G6-$H6</f>
        <v/>
      </c>
      <c r="J6" s="135">
        <f>$E6-$I6</f>
        <v/>
      </c>
    </row>
    <row r="7" ht="15" customHeight="1" s="90">
      <c r="A7" s="140">
        <f>FAR!$T$8</f>
        <v/>
      </c>
      <c r="B7" s="135">
        <f>SUMIFS(FAR!$F$7:$F$46,FAR!$C$7:$C$46,$A7,FAR!$E$7:$E$46,"&lt;"&amp;FAR!$B$3)</f>
        <v/>
      </c>
      <c r="C7" s="135">
        <f>SUMIFS(FAR!$F$7:$F$46,FAR!$C$7:$C$46,$A7,FAR!$E$7:$E$46,"&gt;="&amp;FAR!$B$3)</f>
        <v/>
      </c>
      <c r="D7" s="135">
        <f>SUMIFS(FAR!$F$7:$F$46,FAR!$C$7:$C$46,$A7,FAR!$H$7:$H$46,"&lt;&gt;")</f>
        <v/>
      </c>
      <c r="E7" s="135">
        <f>$B7+$C7-$D7</f>
        <v/>
      </c>
      <c r="F7" s="135">
        <f>SUMIFS(FAR!$G$7:$G$46,FAR!$C$7:$C$46,$A7)</f>
        <v/>
      </c>
      <c r="G7" s="135">
        <f>SUMIFS(FAR!$M$7:$M$46,FAR!$C$7:$C$46,$A7)</f>
        <v/>
      </c>
      <c r="H7" s="135">
        <f>SUMIFS(FAR!$N$7:$N$46,FAR!$C$7:$C$46,$A7,FAR!$H$7:$H$46,"&lt;&gt;")</f>
        <v/>
      </c>
      <c r="I7" s="135">
        <f>$F7+$G7-$H7</f>
        <v/>
      </c>
      <c r="J7" s="135">
        <f>$E7-$I7</f>
        <v/>
      </c>
    </row>
    <row r="8" ht="15" customHeight="1" s="90">
      <c r="A8" s="140">
        <f>FAR!$T$9</f>
        <v/>
      </c>
      <c r="B8" s="135">
        <f>SUMIFS(FAR!$F$7:$F$46,FAR!$C$7:$C$46,$A8,FAR!$E$7:$E$46,"&lt;"&amp;FAR!$B$3)</f>
        <v/>
      </c>
      <c r="C8" s="135">
        <f>SUMIFS(FAR!$F$7:$F$46,FAR!$C$7:$C$46,$A8,FAR!$E$7:$E$46,"&gt;="&amp;FAR!$B$3)</f>
        <v/>
      </c>
      <c r="D8" s="135">
        <f>SUMIFS(FAR!$F$7:$F$46,FAR!$C$7:$C$46,$A8,FAR!$H$7:$H$46,"&lt;&gt;")</f>
        <v/>
      </c>
      <c r="E8" s="135">
        <f>$B8+$C8-$D8</f>
        <v/>
      </c>
      <c r="F8" s="135">
        <f>SUMIFS(FAR!$G$7:$G$46,FAR!$C$7:$C$46,$A8)</f>
        <v/>
      </c>
      <c r="G8" s="135">
        <f>SUMIFS(FAR!$M$7:$M$46,FAR!$C$7:$C$46,$A8)</f>
        <v/>
      </c>
      <c r="H8" s="135">
        <f>SUMIFS(FAR!$N$7:$N$46,FAR!$C$7:$C$46,$A8,FAR!$H$7:$H$46,"&lt;&gt;")</f>
        <v/>
      </c>
      <c r="I8" s="135">
        <f>$F8+$G8-$H8</f>
        <v/>
      </c>
      <c r="J8" s="135">
        <f>$E8-$I8</f>
        <v/>
      </c>
    </row>
    <row r="9" ht="15" customHeight="1" s="90">
      <c r="A9" s="140">
        <f>FAR!$T$10</f>
        <v/>
      </c>
      <c r="B9" s="135">
        <f>SUMIFS(FAR!$F$7:$F$46,FAR!$C$7:$C$46,$A9,FAR!$E$7:$E$46,"&lt;"&amp;FAR!$B$3)</f>
        <v/>
      </c>
      <c r="C9" s="135">
        <f>SUMIFS(FAR!$F$7:$F$46,FAR!$C$7:$C$46,$A9,FAR!$E$7:$E$46,"&gt;="&amp;FAR!$B$3)</f>
        <v/>
      </c>
      <c r="D9" s="135">
        <f>SUMIFS(FAR!$F$7:$F$46,FAR!$C$7:$C$46,$A9,FAR!$H$7:$H$46,"&lt;&gt;")</f>
        <v/>
      </c>
      <c r="E9" s="135">
        <f>$B9+$C9-$D9</f>
        <v/>
      </c>
      <c r="F9" s="135">
        <f>SUMIFS(FAR!$G$7:$G$46,FAR!$C$7:$C$46,$A9)</f>
        <v/>
      </c>
      <c r="G9" s="135">
        <f>SUMIFS(FAR!$M$7:$M$46,FAR!$C$7:$C$46,$A9)</f>
        <v/>
      </c>
      <c r="H9" s="135">
        <f>SUMIFS(FAR!$N$7:$N$46,FAR!$C$7:$C$46,$A9,FAR!$H$7:$H$46,"&lt;&gt;")</f>
        <v/>
      </c>
      <c r="I9" s="135">
        <f>$F9+$G9-$H9</f>
        <v/>
      </c>
      <c r="J9" s="135">
        <f>$E9-$I9</f>
        <v/>
      </c>
    </row>
    <row r="10" ht="15" customHeight="1" s="90">
      <c r="A10" s="140">
        <f>FAR!$T$11</f>
        <v/>
      </c>
      <c r="B10" s="135">
        <f>SUMIFS(FAR!$F$7:$F$46,FAR!$C$7:$C$46,$A10,FAR!$E$7:$E$46,"&lt;"&amp;FAR!$B$3)</f>
        <v/>
      </c>
      <c r="C10" s="135">
        <f>SUMIFS(FAR!$F$7:$F$46,FAR!$C$7:$C$46,$A10,FAR!$E$7:$E$46,"&gt;="&amp;FAR!$B$3)</f>
        <v/>
      </c>
      <c r="D10" s="135">
        <f>SUMIFS(FAR!$F$7:$F$46,FAR!$C$7:$C$46,$A10,FAR!$H$7:$H$46,"&lt;&gt;")</f>
        <v/>
      </c>
      <c r="E10" s="135">
        <f>$B10+$C10-$D10</f>
        <v/>
      </c>
      <c r="F10" s="135">
        <f>SUMIFS(FAR!$G$7:$G$46,FAR!$C$7:$C$46,$A10)</f>
        <v/>
      </c>
      <c r="G10" s="135">
        <f>SUMIFS(FAR!$M$7:$M$46,FAR!$C$7:$C$46,$A10)</f>
        <v/>
      </c>
      <c r="H10" s="135">
        <f>SUMIFS(FAR!$N$7:$N$46,FAR!$C$7:$C$46,$A10,FAR!$H$7:$H$46,"&lt;&gt;")</f>
        <v/>
      </c>
      <c r="I10" s="135">
        <f>$F10+$G10-$H10</f>
        <v/>
      </c>
      <c r="J10" s="135">
        <f>$E10-$I10</f>
        <v/>
      </c>
    </row>
    <row r="11" ht="15" customHeight="1" s="90">
      <c r="A11" s="140">
        <f>FAR!$T$12</f>
        <v/>
      </c>
      <c r="B11" s="135">
        <f>SUMIFS(FAR!$F$7:$F$46,FAR!$C$7:$C$46,$A11,FAR!$E$7:$E$46,"&lt;"&amp;FAR!$B$3)</f>
        <v/>
      </c>
      <c r="C11" s="135">
        <f>SUMIFS(FAR!$F$7:$F$46,FAR!$C$7:$C$46,$A11,FAR!$E$7:$E$46,"&gt;="&amp;FAR!$B$3)</f>
        <v/>
      </c>
      <c r="D11" s="135">
        <f>SUMIFS(FAR!$F$7:$F$46,FAR!$C$7:$C$46,$A11,FAR!$H$7:$H$46,"&lt;&gt;")</f>
        <v/>
      </c>
      <c r="E11" s="135">
        <f>$B11+$C11-$D11</f>
        <v/>
      </c>
      <c r="F11" s="135">
        <f>SUMIFS(FAR!$G$7:$G$46,FAR!$C$7:$C$46,$A11)</f>
        <v/>
      </c>
      <c r="G11" s="135">
        <f>SUMIFS(FAR!$M$7:$M$46,FAR!$C$7:$C$46,$A11)</f>
        <v/>
      </c>
      <c r="H11" s="135">
        <f>SUMIFS(FAR!$N$7:$N$46,FAR!$C$7:$C$46,$A11,FAR!$H$7:$H$46,"&lt;&gt;")</f>
        <v/>
      </c>
      <c r="I11" s="135">
        <f>$F11+$G11-$H11</f>
        <v/>
      </c>
      <c r="J11" s="135">
        <f>$E11-$I11</f>
        <v/>
      </c>
    </row>
    <row r="12" ht="15" customHeight="1" s="90">
      <c r="A12" s="140" t="inlineStr">
        <is>
          <t>Total</t>
        </is>
      </c>
      <c r="B12" s="142">
        <f>SUM(B6:B11)</f>
        <v/>
      </c>
      <c r="C12" s="142">
        <f>SUM(C6:C11)</f>
        <v/>
      </c>
      <c r="D12" s="142">
        <f>SUM(D6:D11)</f>
        <v/>
      </c>
      <c r="E12" s="142">
        <f>SUM(E6:E11)</f>
        <v/>
      </c>
      <c r="F12" s="142">
        <f>SUM(F6:F11)</f>
        <v/>
      </c>
      <c r="G12" s="142">
        <f>SUM(G6:G11)</f>
        <v/>
      </c>
      <c r="H12" s="142">
        <f>SUM(H6:H11)</f>
        <v/>
      </c>
      <c r="I12" s="142">
        <f>SUM(I6:I11)</f>
        <v/>
      </c>
      <c r="J12" s="142">
        <f>SUM(J6:J11)</f>
        <v/>
      </c>
    </row>
  </sheetData>
  <printOptions horizontalCentered="0" verticalCentered="0" headings="0" gridLines="0" gridLinesSet="1"/>
  <pageMargins left="0.75" right="0.75" top="1" bottom="1" header="0.511811023622047" footer="0.511811023622047"/>
  <pageSetup orientation="landscape" paperSize="9" scale="100" fitToHeight="0"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1"/>
  </sheetPr>
  <dimension ref="B2:D9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89" min="1" max="1"/>
    <col width="44" customWidth="1" style="89" min="2" max="2"/>
    <col width="13" customWidth="1" style="89" min="3" max="8"/>
  </cols>
  <sheetData>
    <row r="2" ht="17.25" customHeight="1" s="90">
      <c r="B2" s="121" t="inlineStr">
        <is>
          <t>Notes to the Statement of Profit and Loss</t>
        </is>
      </c>
    </row>
    <row r="3" ht="21.75" customHeight="1" s="90">
      <c r="B3" s="164" t="inlineStr">
        <is>
          <t>Amounts in the same rounding unit as the Statement of Profit and Loss. Yellow cells are direct inputs.</t>
        </is>
      </c>
    </row>
    <row r="5" ht="15" customHeight="1" s="90">
      <c r="B5" s="122">
        <f>"Note "&amp;PL!$C$6&amp;" - Revenue from operations"</f>
        <v/>
      </c>
    </row>
    <row r="6" ht="27.75" customHeight="1" s="90">
      <c r="B6" s="165" t="inlineStr">
        <is>
          <t>Particulars</t>
        </is>
      </c>
      <c r="C6" s="166">
        <f>"Year ended "&amp;TEXT(BSD,"dd mmmm yyyy")</f>
        <v/>
      </c>
      <c r="D6" s="166">
        <f>"Year ended "&amp;TEXT(PBSD,"dd mmmm yyyy")</f>
        <v/>
      </c>
    </row>
    <row r="7" ht="15" customHeight="1" s="90">
      <c r="B7" s="167">
        <f>IFERROR(INDEX(TB!$A$6:$A$225,MATCH("REV#"&amp;1,TB!$H$6:$H$225,0)),"")</f>
        <v/>
      </c>
      <c r="C7" s="168">
        <f>IF(B7="","",-1*(INDEX(TB!$B$6:$B$225,MATCH("REV#"&amp;1,TB!$H$6:$H$225,0))-INDEX(TB!$C$6:$C$225,MATCH("REV#"&amp;1,TB!$H$6:$H$225,0)))/RND)</f>
        <v/>
      </c>
      <c r="D7" s="168">
        <f>IF(B7="","",-1*(INDEX(TB!$D$6:$D$225,MATCH("REV#"&amp;1,TB!$H$6:$H$225,0))-INDEX(TB!$E$6:$E$225,MATCH("REV#"&amp;1,TB!$H$6:$H$225,0)))/RND)</f>
        <v/>
      </c>
    </row>
    <row r="8" ht="15" customHeight="1" s="90">
      <c r="B8" s="167">
        <f>IFERROR(INDEX(TB!$A$6:$A$225,MATCH("REV#"&amp;2,TB!$H$6:$H$225,0)),"")</f>
        <v/>
      </c>
      <c r="C8" s="168">
        <f>IF(B8="","",-1*(INDEX(TB!$B$6:$B$225,MATCH("REV#"&amp;2,TB!$H$6:$H$225,0))-INDEX(TB!$C$6:$C$225,MATCH("REV#"&amp;2,TB!$H$6:$H$225,0)))/RND)</f>
        <v/>
      </c>
      <c r="D8" s="168">
        <f>IF(B8="","",-1*(INDEX(TB!$D$6:$D$225,MATCH("REV#"&amp;2,TB!$H$6:$H$225,0))-INDEX(TB!$E$6:$E$225,MATCH("REV#"&amp;2,TB!$H$6:$H$225,0)))/RND)</f>
        <v/>
      </c>
    </row>
    <row r="9" ht="15" customHeight="1" s="90">
      <c r="B9" s="167">
        <f>IFERROR(INDEX(TB!$A$6:$A$225,MATCH("REV#"&amp;3,TB!$H$6:$H$225,0)),"")</f>
        <v/>
      </c>
      <c r="C9" s="168">
        <f>IF(B9="","",-1*(INDEX(TB!$B$6:$B$225,MATCH("REV#"&amp;3,TB!$H$6:$H$225,0))-INDEX(TB!$C$6:$C$225,MATCH("REV#"&amp;3,TB!$H$6:$H$225,0)))/RND)</f>
        <v/>
      </c>
      <c r="D9" s="168">
        <f>IF(B9="","",-1*(INDEX(TB!$D$6:$D$225,MATCH("REV#"&amp;3,TB!$H$6:$H$225,0))-INDEX(TB!$E$6:$E$225,MATCH("REV#"&amp;3,TB!$H$6:$H$225,0)))/RND)</f>
        <v/>
      </c>
    </row>
    <row r="10" ht="15" customHeight="1" s="90">
      <c r="B10" s="167">
        <f>IFERROR(INDEX(TB!$A$6:$A$225,MATCH("REV#"&amp;4,TB!$H$6:$H$225,0)),"")</f>
        <v/>
      </c>
      <c r="C10" s="168">
        <f>IF(B10="","",-1*(INDEX(TB!$B$6:$B$225,MATCH("REV#"&amp;4,TB!$H$6:$H$225,0))-INDEX(TB!$C$6:$C$225,MATCH("REV#"&amp;4,TB!$H$6:$H$225,0)))/RND)</f>
        <v/>
      </c>
      <c r="D10" s="168">
        <f>IF(B10="","",-1*(INDEX(TB!$D$6:$D$225,MATCH("REV#"&amp;4,TB!$H$6:$H$225,0))-INDEX(TB!$E$6:$E$225,MATCH("REV#"&amp;4,TB!$H$6:$H$225,0)))/RND)</f>
        <v/>
      </c>
    </row>
    <row r="11" ht="15" customHeight="1" s="90">
      <c r="B11" s="167">
        <f>IFERROR(INDEX(TB!$A$6:$A$225,MATCH("REV#"&amp;5,TB!$H$6:$H$225,0)),"")</f>
        <v/>
      </c>
      <c r="C11" s="168">
        <f>IF(B11="","",-1*(INDEX(TB!$B$6:$B$225,MATCH("REV#"&amp;5,TB!$H$6:$H$225,0))-INDEX(TB!$C$6:$C$225,MATCH("REV#"&amp;5,TB!$H$6:$H$225,0)))/RND)</f>
        <v/>
      </c>
      <c r="D11" s="168">
        <f>IF(B11="","",-1*(INDEX(TB!$D$6:$D$225,MATCH("REV#"&amp;5,TB!$H$6:$H$225,0))-INDEX(TB!$E$6:$E$225,MATCH("REV#"&amp;5,TB!$H$6:$H$225,0)))/RND)</f>
        <v/>
      </c>
    </row>
    <row r="12" ht="15" customHeight="1" s="90">
      <c r="B12" s="167">
        <f>IFERROR(INDEX(TB!$A$6:$A$225,MATCH("REV#"&amp;6,TB!$H$6:$H$225,0)),"")</f>
        <v/>
      </c>
      <c r="C12" s="168">
        <f>IF(B12="","",-1*(INDEX(TB!$B$6:$B$225,MATCH("REV#"&amp;6,TB!$H$6:$H$225,0))-INDEX(TB!$C$6:$C$225,MATCH("REV#"&amp;6,TB!$H$6:$H$225,0)))/RND)</f>
        <v/>
      </c>
      <c r="D12" s="168">
        <f>IF(B12="","",-1*(INDEX(TB!$D$6:$D$225,MATCH("REV#"&amp;6,TB!$H$6:$H$225,0))-INDEX(TB!$E$6:$E$225,MATCH("REV#"&amp;6,TB!$H$6:$H$225,0)))/RND)</f>
        <v/>
      </c>
    </row>
    <row r="13" ht="15" customHeight="1" s="90">
      <c r="B13" s="167">
        <f>IFERROR(INDEX(TB!$A$6:$A$225,MATCH("REV#"&amp;7,TB!$H$6:$H$225,0)),"")</f>
        <v/>
      </c>
      <c r="C13" s="168">
        <f>IF(B13="","",-1*(INDEX(TB!$B$6:$B$225,MATCH("REV#"&amp;7,TB!$H$6:$H$225,0))-INDEX(TB!$C$6:$C$225,MATCH("REV#"&amp;7,TB!$H$6:$H$225,0)))/RND)</f>
        <v/>
      </c>
      <c r="D13" s="168">
        <f>IF(B13="","",-1*(INDEX(TB!$D$6:$D$225,MATCH("REV#"&amp;7,TB!$H$6:$H$225,0))-INDEX(TB!$E$6:$E$225,MATCH("REV#"&amp;7,TB!$H$6:$H$225,0)))/RND)</f>
        <v/>
      </c>
    </row>
    <row r="14" ht="15" customHeight="1" s="90">
      <c r="B14" s="167">
        <f>IFERROR(INDEX(TB!$A$6:$A$225,MATCH("REV#"&amp;8,TB!$H$6:$H$225,0)),"")</f>
        <v/>
      </c>
      <c r="C14" s="168">
        <f>IF(B14="","",-1*(INDEX(TB!$B$6:$B$225,MATCH("REV#"&amp;8,TB!$H$6:$H$225,0))-INDEX(TB!$C$6:$C$225,MATCH("REV#"&amp;8,TB!$H$6:$H$225,0)))/RND)</f>
        <v/>
      </c>
      <c r="D14" s="168">
        <f>IF(B14="","",-1*(INDEX(TB!$D$6:$D$225,MATCH("REV#"&amp;8,TB!$H$6:$H$225,0))-INDEX(TB!$E$6:$E$225,MATCH("REV#"&amp;8,TB!$H$6:$H$225,0)))/RND)</f>
        <v/>
      </c>
    </row>
    <row r="15" ht="15" customHeight="1" s="90">
      <c r="B15" s="167" t="inlineStr">
        <is>
          <t>Other items (grouped)</t>
        </is>
      </c>
      <c r="C15" s="168">
        <f>-1*Calc!$B$27/RND-SUM(C7:C14)</f>
        <v/>
      </c>
      <c r="D15" s="168">
        <f>-1*Calc!$C$27/RND-SUM(D7:D14)</f>
        <v/>
      </c>
    </row>
    <row r="16" ht="15" customHeight="1" s="90">
      <c r="B16" s="170" t="inlineStr">
        <is>
          <t>Total</t>
        </is>
      </c>
      <c r="C16" s="171">
        <f>-1*Calc!$B$27/RND</f>
        <v/>
      </c>
      <c r="D16" s="171">
        <f>-1*Calc!$C$27/RND</f>
        <v/>
      </c>
    </row>
    <row r="18" ht="15" customHeight="1" s="90">
      <c r="B18" s="122">
        <f>"Note "&amp;PL!$C$7&amp;" - Other income"</f>
        <v/>
      </c>
    </row>
    <row r="19" ht="27.75" customHeight="1" s="90">
      <c r="B19" s="165" t="inlineStr">
        <is>
          <t>Particulars</t>
        </is>
      </c>
      <c r="C19" s="166">
        <f>"Year ended "&amp;TEXT(BSD,"dd mmmm yyyy")</f>
        <v/>
      </c>
      <c r="D19" s="166">
        <f>"Year ended "&amp;TEXT(PBSD,"dd mmmm yyyy")</f>
        <v/>
      </c>
    </row>
    <row r="20" ht="15" customHeight="1" s="90">
      <c r="B20" s="167">
        <f>IFERROR(INDEX(TB!$A$6:$A$225,MATCH("OTHINC#"&amp;1,TB!$H$6:$H$225,0)),"")</f>
        <v/>
      </c>
      <c r="C20" s="168">
        <f>IF(B20="","",-1*(INDEX(TB!$B$6:$B$225,MATCH("OTHINC#"&amp;1,TB!$H$6:$H$225,0))-INDEX(TB!$C$6:$C$225,MATCH("OTHINC#"&amp;1,TB!$H$6:$H$225,0)))/RND)</f>
        <v/>
      </c>
      <c r="D20" s="168">
        <f>IF(B20="","",-1*(INDEX(TB!$D$6:$D$225,MATCH("OTHINC#"&amp;1,TB!$H$6:$H$225,0))-INDEX(TB!$E$6:$E$225,MATCH("OTHINC#"&amp;1,TB!$H$6:$H$225,0)))/RND)</f>
        <v/>
      </c>
    </row>
    <row r="21" ht="15" customHeight="1" s="90">
      <c r="B21" s="167">
        <f>IFERROR(INDEX(TB!$A$6:$A$225,MATCH("OTHINC#"&amp;2,TB!$H$6:$H$225,0)),"")</f>
        <v/>
      </c>
      <c r="C21" s="168">
        <f>IF(B21="","",-1*(INDEX(TB!$B$6:$B$225,MATCH("OTHINC#"&amp;2,TB!$H$6:$H$225,0))-INDEX(TB!$C$6:$C$225,MATCH("OTHINC#"&amp;2,TB!$H$6:$H$225,0)))/RND)</f>
        <v/>
      </c>
      <c r="D21" s="168">
        <f>IF(B21="","",-1*(INDEX(TB!$D$6:$D$225,MATCH("OTHINC#"&amp;2,TB!$H$6:$H$225,0))-INDEX(TB!$E$6:$E$225,MATCH("OTHINC#"&amp;2,TB!$H$6:$H$225,0)))/RND)</f>
        <v/>
      </c>
    </row>
    <row r="22" ht="15" customHeight="1" s="90">
      <c r="B22" s="167">
        <f>IFERROR(INDEX(TB!$A$6:$A$225,MATCH("OTHINC#"&amp;3,TB!$H$6:$H$225,0)),"")</f>
        <v/>
      </c>
      <c r="C22" s="168">
        <f>IF(B22="","",-1*(INDEX(TB!$B$6:$B$225,MATCH("OTHINC#"&amp;3,TB!$H$6:$H$225,0))-INDEX(TB!$C$6:$C$225,MATCH("OTHINC#"&amp;3,TB!$H$6:$H$225,0)))/RND)</f>
        <v/>
      </c>
      <c r="D22" s="168">
        <f>IF(B22="","",-1*(INDEX(TB!$D$6:$D$225,MATCH("OTHINC#"&amp;3,TB!$H$6:$H$225,0))-INDEX(TB!$E$6:$E$225,MATCH("OTHINC#"&amp;3,TB!$H$6:$H$225,0)))/RND)</f>
        <v/>
      </c>
    </row>
    <row r="23" ht="15" customHeight="1" s="90">
      <c r="B23" s="167">
        <f>IFERROR(INDEX(TB!$A$6:$A$225,MATCH("OTHINC#"&amp;4,TB!$H$6:$H$225,0)),"")</f>
        <v/>
      </c>
      <c r="C23" s="168">
        <f>IF(B23="","",-1*(INDEX(TB!$B$6:$B$225,MATCH("OTHINC#"&amp;4,TB!$H$6:$H$225,0))-INDEX(TB!$C$6:$C$225,MATCH("OTHINC#"&amp;4,TB!$H$6:$H$225,0)))/RND)</f>
        <v/>
      </c>
      <c r="D23" s="168">
        <f>IF(B23="","",-1*(INDEX(TB!$D$6:$D$225,MATCH("OTHINC#"&amp;4,TB!$H$6:$H$225,0))-INDEX(TB!$E$6:$E$225,MATCH("OTHINC#"&amp;4,TB!$H$6:$H$225,0)))/RND)</f>
        <v/>
      </c>
    </row>
    <row r="24" ht="15" customHeight="1" s="90">
      <c r="B24" s="167">
        <f>IFERROR(INDEX(TB!$A$6:$A$225,MATCH("OTHINC#"&amp;5,TB!$H$6:$H$225,0)),"")</f>
        <v/>
      </c>
      <c r="C24" s="168">
        <f>IF(B24="","",-1*(INDEX(TB!$B$6:$B$225,MATCH("OTHINC#"&amp;5,TB!$H$6:$H$225,0))-INDEX(TB!$C$6:$C$225,MATCH("OTHINC#"&amp;5,TB!$H$6:$H$225,0)))/RND)</f>
        <v/>
      </c>
      <c r="D24" s="168">
        <f>IF(B24="","",-1*(INDEX(TB!$D$6:$D$225,MATCH("OTHINC#"&amp;5,TB!$H$6:$H$225,0))-INDEX(TB!$E$6:$E$225,MATCH("OTHINC#"&amp;5,TB!$H$6:$H$225,0)))/RND)</f>
        <v/>
      </c>
    </row>
    <row r="25" ht="15" customHeight="1" s="90">
      <c r="B25" s="167">
        <f>IFERROR(INDEX(TB!$A$6:$A$225,MATCH("OTHINC#"&amp;6,TB!$H$6:$H$225,0)),"")</f>
        <v/>
      </c>
      <c r="C25" s="168">
        <f>IF(B25="","",-1*(INDEX(TB!$B$6:$B$225,MATCH("OTHINC#"&amp;6,TB!$H$6:$H$225,0))-INDEX(TB!$C$6:$C$225,MATCH("OTHINC#"&amp;6,TB!$H$6:$H$225,0)))/RND)</f>
        <v/>
      </c>
      <c r="D25" s="168">
        <f>IF(B25="","",-1*(INDEX(TB!$D$6:$D$225,MATCH("OTHINC#"&amp;6,TB!$H$6:$H$225,0))-INDEX(TB!$E$6:$E$225,MATCH("OTHINC#"&amp;6,TB!$H$6:$H$225,0)))/RND)</f>
        <v/>
      </c>
    </row>
    <row r="26" ht="15" customHeight="1" s="90">
      <c r="B26" s="167" t="inlineStr">
        <is>
          <t>Other items (grouped)</t>
        </is>
      </c>
      <c r="C26" s="168">
        <f>-1*Calc!$B$28/RND-SUM(C20:C25)</f>
        <v/>
      </c>
      <c r="D26" s="168">
        <f>-1*Calc!$C$28/RND-SUM(D20:D25)</f>
        <v/>
      </c>
    </row>
    <row r="27" ht="15" customHeight="1" s="90">
      <c r="B27" s="170" t="inlineStr">
        <is>
          <t>Total</t>
        </is>
      </c>
      <c r="C27" s="171">
        <f>-1*Calc!$B$28/RND</f>
        <v/>
      </c>
      <c r="D27" s="171">
        <f>-1*Calc!$C$28/RND</f>
        <v/>
      </c>
    </row>
    <row r="29" ht="15" customHeight="1" s="90">
      <c r="B29" s="122">
        <f>"Note "&amp;PL!$C$10&amp;" - Cost of materials consumed"</f>
        <v/>
      </c>
    </row>
    <row r="30" ht="27.75" customHeight="1" s="90">
      <c r="B30" s="165" t="inlineStr">
        <is>
          <t>Particulars</t>
        </is>
      </c>
      <c r="C30" s="166">
        <f>"Year ended "&amp;TEXT(BSD,"dd mmmm yyyy")</f>
        <v/>
      </c>
      <c r="D30" s="166">
        <f>"Year ended "&amp;TEXT(PBSD,"dd mmmm yyyy")</f>
        <v/>
      </c>
    </row>
    <row r="31" ht="15" customHeight="1" s="90">
      <c r="B31" s="167" t="inlineStr">
        <is>
          <t>Opening stock of materials</t>
        </is>
      </c>
      <c r="C31" s="169" t="n">
        <v>0</v>
      </c>
      <c r="D31" s="169" t="n">
        <v>0</v>
      </c>
    </row>
    <row r="32" ht="15" customHeight="1" s="90">
      <c r="B32" s="167" t="inlineStr">
        <is>
          <t>Add: purchases</t>
        </is>
      </c>
      <c r="C32" s="169" t="n">
        <v>0</v>
      </c>
      <c r="D32" s="169" t="n">
        <v>0</v>
      </c>
    </row>
    <row r="33" ht="15" customHeight="1" s="90">
      <c r="B33" s="167" t="inlineStr">
        <is>
          <t>Less: closing stock of materials</t>
        </is>
      </c>
      <c r="C33" s="169" t="n">
        <v>0</v>
      </c>
      <c r="D33" s="169" t="n">
        <v>0</v>
      </c>
    </row>
    <row r="34" ht="15" customHeight="1" s="90">
      <c r="B34" s="170" t="inlineStr">
        <is>
          <t>Consumption per derivation</t>
        </is>
      </c>
      <c r="C34" s="171">
        <f>C31+C32-C33</f>
        <v/>
      </c>
      <c r="D34" s="171">
        <f>D31+D32-D33</f>
        <v/>
      </c>
    </row>
    <row r="35" ht="15" customHeight="1" s="90">
      <c r="B35" s="167" t="inlineStr">
        <is>
          <t>Per trial balance (code MATCONS)</t>
        </is>
      </c>
      <c r="C35" s="168">
        <f>Calc!$B$29/RND</f>
        <v/>
      </c>
      <c r="D35" s="168">
        <f>Calc!$C$29/RND</f>
        <v/>
      </c>
    </row>
    <row r="37" ht="15" customHeight="1" s="90">
      <c r="B37" s="122">
        <f>"Note "&amp;PL!$C$13&amp;" - Employee benefits expense"</f>
        <v/>
      </c>
    </row>
    <row r="38" ht="27.75" customHeight="1" s="90">
      <c r="B38" s="165" t="inlineStr">
        <is>
          <t>Particulars</t>
        </is>
      </c>
      <c r="C38" s="166">
        <f>"Year ended "&amp;TEXT(BSD,"dd mmmm yyyy")</f>
        <v/>
      </c>
      <c r="D38" s="166">
        <f>"Year ended "&amp;TEXT(PBSD,"dd mmmm yyyy")</f>
        <v/>
      </c>
    </row>
    <row r="39" ht="15" customHeight="1" s="90">
      <c r="B39" s="167">
        <f>IFERROR(INDEX(TB!$A$6:$A$225,MATCH("EMPB#"&amp;1,TB!$H$6:$H$225,0)),"")</f>
        <v/>
      </c>
      <c r="C39" s="168">
        <f>IF(B39="","",1*(INDEX(TB!$B$6:$B$225,MATCH("EMPB#"&amp;1,TB!$H$6:$H$225,0))-INDEX(TB!$C$6:$C$225,MATCH("EMPB#"&amp;1,TB!$H$6:$H$225,0)))/RND)</f>
        <v/>
      </c>
      <c r="D39" s="168">
        <f>IF(B39="","",1*(INDEX(TB!$D$6:$D$225,MATCH("EMPB#"&amp;1,TB!$H$6:$H$225,0))-INDEX(TB!$E$6:$E$225,MATCH("EMPB#"&amp;1,TB!$H$6:$H$225,0)))/RND)</f>
        <v/>
      </c>
    </row>
    <row r="40" ht="15" customHeight="1" s="90">
      <c r="B40" s="167">
        <f>IFERROR(INDEX(TB!$A$6:$A$225,MATCH("EMPB#"&amp;2,TB!$H$6:$H$225,0)),"")</f>
        <v/>
      </c>
      <c r="C40" s="168">
        <f>IF(B40="","",1*(INDEX(TB!$B$6:$B$225,MATCH("EMPB#"&amp;2,TB!$H$6:$H$225,0))-INDEX(TB!$C$6:$C$225,MATCH("EMPB#"&amp;2,TB!$H$6:$H$225,0)))/RND)</f>
        <v/>
      </c>
      <c r="D40" s="168">
        <f>IF(B40="","",1*(INDEX(TB!$D$6:$D$225,MATCH("EMPB#"&amp;2,TB!$H$6:$H$225,0))-INDEX(TB!$E$6:$E$225,MATCH("EMPB#"&amp;2,TB!$H$6:$H$225,0)))/RND)</f>
        <v/>
      </c>
    </row>
    <row r="41" ht="15" customHeight="1" s="90">
      <c r="B41" s="167">
        <f>IFERROR(INDEX(TB!$A$6:$A$225,MATCH("EMPB#"&amp;3,TB!$H$6:$H$225,0)),"")</f>
        <v/>
      </c>
      <c r="C41" s="168">
        <f>IF(B41="","",1*(INDEX(TB!$B$6:$B$225,MATCH("EMPB#"&amp;3,TB!$H$6:$H$225,0))-INDEX(TB!$C$6:$C$225,MATCH("EMPB#"&amp;3,TB!$H$6:$H$225,0)))/RND)</f>
        <v/>
      </c>
      <c r="D41" s="168">
        <f>IF(B41="","",1*(INDEX(TB!$D$6:$D$225,MATCH("EMPB#"&amp;3,TB!$H$6:$H$225,0))-INDEX(TB!$E$6:$E$225,MATCH("EMPB#"&amp;3,TB!$H$6:$H$225,0)))/RND)</f>
        <v/>
      </c>
    </row>
    <row r="42" ht="15" customHeight="1" s="90">
      <c r="B42" s="167">
        <f>IFERROR(INDEX(TB!$A$6:$A$225,MATCH("EMPB#"&amp;4,TB!$H$6:$H$225,0)),"")</f>
        <v/>
      </c>
      <c r="C42" s="168">
        <f>IF(B42="","",1*(INDEX(TB!$B$6:$B$225,MATCH("EMPB#"&amp;4,TB!$H$6:$H$225,0))-INDEX(TB!$C$6:$C$225,MATCH("EMPB#"&amp;4,TB!$H$6:$H$225,0)))/RND)</f>
        <v/>
      </c>
      <c r="D42" s="168">
        <f>IF(B42="","",1*(INDEX(TB!$D$6:$D$225,MATCH("EMPB#"&amp;4,TB!$H$6:$H$225,0))-INDEX(TB!$E$6:$E$225,MATCH("EMPB#"&amp;4,TB!$H$6:$H$225,0)))/RND)</f>
        <v/>
      </c>
    </row>
    <row r="43" ht="15" customHeight="1" s="90">
      <c r="B43" s="167">
        <f>IFERROR(INDEX(TB!$A$6:$A$225,MATCH("EMPB#"&amp;5,TB!$H$6:$H$225,0)),"")</f>
        <v/>
      </c>
      <c r="C43" s="168">
        <f>IF(B43="","",1*(INDEX(TB!$B$6:$B$225,MATCH("EMPB#"&amp;5,TB!$H$6:$H$225,0))-INDEX(TB!$C$6:$C$225,MATCH("EMPB#"&amp;5,TB!$H$6:$H$225,0)))/RND)</f>
        <v/>
      </c>
      <c r="D43" s="168">
        <f>IF(B43="","",1*(INDEX(TB!$D$6:$D$225,MATCH("EMPB#"&amp;5,TB!$H$6:$H$225,0))-INDEX(TB!$E$6:$E$225,MATCH("EMPB#"&amp;5,TB!$H$6:$H$225,0)))/RND)</f>
        <v/>
      </c>
    </row>
    <row r="44" ht="15" customHeight="1" s="90">
      <c r="B44" s="167">
        <f>IFERROR(INDEX(TB!$A$6:$A$225,MATCH("EMPB#"&amp;6,TB!$H$6:$H$225,0)),"")</f>
        <v/>
      </c>
      <c r="C44" s="168">
        <f>IF(B44="","",1*(INDEX(TB!$B$6:$B$225,MATCH("EMPB#"&amp;6,TB!$H$6:$H$225,0))-INDEX(TB!$C$6:$C$225,MATCH("EMPB#"&amp;6,TB!$H$6:$H$225,0)))/RND)</f>
        <v/>
      </c>
      <c r="D44" s="168">
        <f>IF(B44="","",1*(INDEX(TB!$D$6:$D$225,MATCH("EMPB#"&amp;6,TB!$H$6:$H$225,0))-INDEX(TB!$E$6:$E$225,MATCH("EMPB#"&amp;6,TB!$H$6:$H$225,0)))/RND)</f>
        <v/>
      </c>
    </row>
    <row r="45" ht="15" customHeight="1" s="90">
      <c r="B45" s="167">
        <f>IFERROR(INDEX(TB!$A$6:$A$225,MATCH("EMPB#"&amp;7,TB!$H$6:$H$225,0)),"")</f>
        <v/>
      </c>
      <c r="C45" s="168">
        <f>IF(B45="","",1*(INDEX(TB!$B$6:$B$225,MATCH("EMPB#"&amp;7,TB!$H$6:$H$225,0))-INDEX(TB!$C$6:$C$225,MATCH("EMPB#"&amp;7,TB!$H$6:$H$225,0)))/RND)</f>
        <v/>
      </c>
      <c r="D45" s="168">
        <f>IF(B45="","",1*(INDEX(TB!$D$6:$D$225,MATCH("EMPB#"&amp;7,TB!$H$6:$H$225,0))-INDEX(TB!$E$6:$E$225,MATCH("EMPB#"&amp;7,TB!$H$6:$H$225,0)))/RND)</f>
        <v/>
      </c>
    </row>
    <row r="46" ht="15" customHeight="1" s="90">
      <c r="B46" s="167">
        <f>IFERROR(INDEX(TB!$A$6:$A$225,MATCH("EMPB#"&amp;8,TB!$H$6:$H$225,0)),"")</f>
        <v/>
      </c>
      <c r="C46" s="168">
        <f>IF(B46="","",1*(INDEX(TB!$B$6:$B$225,MATCH("EMPB#"&amp;8,TB!$H$6:$H$225,0))-INDEX(TB!$C$6:$C$225,MATCH("EMPB#"&amp;8,TB!$H$6:$H$225,0)))/RND)</f>
        <v/>
      </c>
      <c r="D46" s="168">
        <f>IF(B46="","",1*(INDEX(TB!$D$6:$D$225,MATCH("EMPB#"&amp;8,TB!$H$6:$H$225,0))-INDEX(TB!$E$6:$E$225,MATCH("EMPB#"&amp;8,TB!$H$6:$H$225,0)))/RND)</f>
        <v/>
      </c>
    </row>
    <row r="47" ht="15" customHeight="1" s="90">
      <c r="B47" s="167" t="inlineStr">
        <is>
          <t>Other items (grouped)</t>
        </is>
      </c>
      <c r="C47" s="168">
        <f>1*Calc!$B$32/RND-SUM(C39:C46)</f>
        <v/>
      </c>
      <c r="D47" s="168">
        <f>1*Calc!$C$32/RND-SUM(D39:D46)</f>
        <v/>
      </c>
    </row>
    <row r="48" ht="15" customHeight="1" s="90">
      <c r="B48" s="170" t="inlineStr">
        <is>
          <t>Total</t>
        </is>
      </c>
      <c r="C48" s="171">
        <f>1*Calc!$B$32/RND</f>
        <v/>
      </c>
      <c r="D48" s="171">
        <f>1*Calc!$C$32/RND</f>
        <v/>
      </c>
    </row>
    <row r="50" ht="15" customHeight="1" s="90">
      <c r="B50" s="122">
        <f>"Note "&amp;PL!$C$14&amp;" - Finance costs"</f>
        <v/>
      </c>
    </row>
    <row r="51" ht="27.75" customHeight="1" s="90">
      <c r="B51" s="165" t="inlineStr">
        <is>
          <t>Particulars</t>
        </is>
      </c>
      <c r="C51" s="166">
        <f>"Year ended "&amp;TEXT(BSD,"dd mmmm yyyy")</f>
        <v/>
      </c>
      <c r="D51" s="166">
        <f>"Year ended "&amp;TEXT(PBSD,"dd mmmm yyyy")</f>
        <v/>
      </c>
    </row>
    <row r="52" ht="15" customHeight="1" s="90">
      <c r="B52" s="167">
        <f>IFERROR(INDEX(TB!$A$6:$A$225,MATCH("FINC#"&amp;1,TB!$H$6:$H$225,0)),"")</f>
        <v/>
      </c>
      <c r="C52" s="168">
        <f>IF(B52="","",1*(INDEX(TB!$B$6:$B$225,MATCH("FINC#"&amp;1,TB!$H$6:$H$225,0))-INDEX(TB!$C$6:$C$225,MATCH("FINC#"&amp;1,TB!$H$6:$H$225,0)))/RND)</f>
        <v/>
      </c>
      <c r="D52" s="168">
        <f>IF(B52="","",1*(INDEX(TB!$D$6:$D$225,MATCH("FINC#"&amp;1,TB!$H$6:$H$225,0))-INDEX(TB!$E$6:$E$225,MATCH("FINC#"&amp;1,TB!$H$6:$H$225,0)))/RND)</f>
        <v/>
      </c>
    </row>
    <row r="53" ht="15" customHeight="1" s="90">
      <c r="B53" s="167">
        <f>IFERROR(INDEX(TB!$A$6:$A$225,MATCH("FINC#"&amp;2,TB!$H$6:$H$225,0)),"")</f>
        <v/>
      </c>
      <c r="C53" s="168">
        <f>IF(B53="","",1*(INDEX(TB!$B$6:$B$225,MATCH("FINC#"&amp;2,TB!$H$6:$H$225,0))-INDEX(TB!$C$6:$C$225,MATCH("FINC#"&amp;2,TB!$H$6:$H$225,0)))/RND)</f>
        <v/>
      </c>
      <c r="D53" s="168">
        <f>IF(B53="","",1*(INDEX(TB!$D$6:$D$225,MATCH("FINC#"&amp;2,TB!$H$6:$H$225,0))-INDEX(TB!$E$6:$E$225,MATCH("FINC#"&amp;2,TB!$H$6:$H$225,0)))/RND)</f>
        <v/>
      </c>
    </row>
    <row r="54" ht="15" customHeight="1" s="90">
      <c r="B54" s="167">
        <f>IFERROR(INDEX(TB!$A$6:$A$225,MATCH("FINC#"&amp;3,TB!$H$6:$H$225,0)),"")</f>
        <v/>
      </c>
      <c r="C54" s="168">
        <f>IF(B54="","",1*(INDEX(TB!$B$6:$B$225,MATCH("FINC#"&amp;3,TB!$H$6:$H$225,0))-INDEX(TB!$C$6:$C$225,MATCH("FINC#"&amp;3,TB!$H$6:$H$225,0)))/RND)</f>
        <v/>
      </c>
      <c r="D54" s="168">
        <f>IF(B54="","",1*(INDEX(TB!$D$6:$D$225,MATCH("FINC#"&amp;3,TB!$H$6:$H$225,0))-INDEX(TB!$E$6:$E$225,MATCH("FINC#"&amp;3,TB!$H$6:$H$225,0)))/RND)</f>
        <v/>
      </c>
    </row>
    <row r="55" ht="15" customHeight="1" s="90">
      <c r="B55" s="167">
        <f>IFERROR(INDEX(TB!$A$6:$A$225,MATCH("FINC#"&amp;4,TB!$H$6:$H$225,0)),"")</f>
        <v/>
      </c>
      <c r="C55" s="168">
        <f>IF(B55="","",1*(INDEX(TB!$B$6:$B$225,MATCH("FINC#"&amp;4,TB!$H$6:$H$225,0))-INDEX(TB!$C$6:$C$225,MATCH("FINC#"&amp;4,TB!$H$6:$H$225,0)))/RND)</f>
        <v/>
      </c>
      <c r="D55" s="168">
        <f>IF(B55="","",1*(INDEX(TB!$D$6:$D$225,MATCH("FINC#"&amp;4,TB!$H$6:$H$225,0))-INDEX(TB!$E$6:$E$225,MATCH("FINC#"&amp;4,TB!$H$6:$H$225,0)))/RND)</f>
        <v/>
      </c>
    </row>
    <row r="56" ht="15" customHeight="1" s="90">
      <c r="B56" s="167">
        <f>IFERROR(INDEX(TB!$A$6:$A$225,MATCH("FINC#"&amp;5,TB!$H$6:$H$225,0)),"")</f>
        <v/>
      </c>
      <c r="C56" s="168">
        <f>IF(B56="","",1*(INDEX(TB!$B$6:$B$225,MATCH("FINC#"&amp;5,TB!$H$6:$H$225,0))-INDEX(TB!$C$6:$C$225,MATCH("FINC#"&amp;5,TB!$H$6:$H$225,0)))/RND)</f>
        <v/>
      </c>
      <c r="D56" s="168">
        <f>IF(B56="","",1*(INDEX(TB!$D$6:$D$225,MATCH("FINC#"&amp;5,TB!$H$6:$H$225,0))-INDEX(TB!$E$6:$E$225,MATCH("FINC#"&amp;5,TB!$H$6:$H$225,0)))/RND)</f>
        <v/>
      </c>
    </row>
    <row r="57" ht="15" customHeight="1" s="90">
      <c r="B57" s="167">
        <f>IFERROR(INDEX(TB!$A$6:$A$225,MATCH("FINC#"&amp;6,TB!$H$6:$H$225,0)),"")</f>
        <v/>
      </c>
      <c r="C57" s="168">
        <f>IF(B57="","",1*(INDEX(TB!$B$6:$B$225,MATCH("FINC#"&amp;6,TB!$H$6:$H$225,0))-INDEX(TB!$C$6:$C$225,MATCH("FINC#"&amp;6,TB!$H$6:$H$225,0)))/RND)</f>
        <v/>
      </c>
      <c r="D57" s="168">
        <f>IF(B57="","",1*(INDEX(TB!$D$6:$D$225,MATCH("FINC#"&amp;6,TB!$H$6:$H$225,0))-INDEX(TB!$E$6:$E$225,MATCH("FINC#"&amp;6,TB!$H$6:$H$225,0)))/RND)</f>
        <v/>
      </c>
    </row>
    <row r="58" ht="15" customHeight="1" s="90">
      <c r="B58" s="167" t="inlineStr">
        <is>
          <t>Other items (grouped)</t>
        </is>
      </c>
      <c r="C58" s="168">
        <f>1*Calc!$B$33/RND-SUM(C52:C57)</f>
        <v/>
      </c>
      <c r="D58" s="168">
        <f>1*Calc!$C$33/RND-SUM(D52:D57)</f>
        <v/>
      </c>
    </row>
    <row r="59" ht="15" customHeight="1" s="90">
      <c r="B59" s="170" t="inlineStr">
        <is>
          <t>Total</t>
        </is>
      </c>
      <c r="C59" s="171">
        <f>1*Calc!$B$33/RND</f>
        <v/>
      </c>
      <c r="D59" s="171">
        <f>1*Calc!$C$33/RND</f>
        <v/>
      </c>
    </row>
    <row r="61" ht="15" customHeight="1" s="90">
      <c r="B61" s="122">
        <f>"Note "&amp;PL!$C$16&amp;" - Other expenses"</f>
        <v/>
      </c>
    </row>
    <row r="62" ht="27.75" customHeight="1" s="90">
      <c r="B62" s="165" t="inlineStr">
        <is>
          <t>Particulars</t>
        </is>
      </c>
      <c r="C62" s="166">
        <f>"Year ended "&amp;TEXT(BSD,"dd mmmm yyyy")</f>
        <v/>
      </c>
      <c r="D62" s="166">
        <f>"Year ended "&amp;TEXT(PBSD,"dd mmmm yyyy")</f>
        <v/>
      </c>
    </row>
    <row r="63" ht="15" customHeight="1" s="90">
      <c r="B63" s="167">
        <f>IFERROR(INDEX(TB!$A$6:$A$225,MATCH("OTHEXP#"&amp;1,TB!$H$6:$H$225,0)),"")</f>
        <v/>
      </c>
      <c r="C63" s="168">
        <f>IF(B63="","",1*(INDEX(TB!$B$6:$B$225,MATCH("OTHEXP#"&amp;1,TB!$H$6:$H$225,0))-INDEX(TB!$C$6:$C$225,MATCH("OTHEXP#"&amp;1,TB!$H$6:$H$225,0)))/RND)</f>
        <v/>
      </c>
      <c r="D63" s="168">
        <f>IF(B63="","",1*(INDEX(TB!$D$6:$D$225,MATCH("OTHEXP#"&amp;1,TB!$H$6:$H$225,0))-INDEX(TB!$E$6:$E$225,MATCH("OTHEXP#"&amp;1,TB!$H$6:$H$225,0)))/RND)</f>
        <v/>
      </c>
    </row>
    <row r="64" ht="15" customHeight="1" s="90">
      <c r="B64" s="167">
        <f>IFERROR(INDEX(TB!$A$6:$A$225,MATCH("OTHEXP#"&amp;2,TB!$H$6:$H$225,0)),"")</f>
        <v/>
      </c>
      <c r="C64" s="168">
        <f>IF(B64="","",1*(INDEX(TB!$B$6:$B$225,MATCH("OTHEXP#"&amp;2,TB!$H$6:$H$225,0))-INDEX(TB!$C$6:$C$225,MATCH("OTHEXP#"&amp;2,TB!$H$6:$H$225,0)))/RND)</f>
        <v/>
      </c>
      <c r="D64" s="168">
        <f>IF(B64="","",1*(INDEX(TB!$D$6:$D$225,MATCH("OTHEXP#"&amp;2,TB!$H$6:$H$225,0))-INDEX(TB!$E$6:$E$225,MATCH("OTHEXP#"&amp;2,TB!$H$6:$H$225,0)))/RND)</f>
        <v/>
      </c>
    </row>
    <row r="65" ht="15" customHeight="1" s="90">
      <c r="B65" s="167">
        <f>IFERROR(INDEX(TB!$A$6:$A$225,MATCH("OTHEXP#"&amp;3,TB!$H$6:$H$225,0)),"")</f>
        <v/>
      </c>
      <c r="C65" s="168">
        <f>IF(B65="","",1*(INDEX(TB!$B$6:$B$225,MATCH("OTHEXP#"&amp;3,TB!$H$6:$H$225,0))-INDEX(TB!$C$6:$C$225,MATCH("OTHEXP#"&amp;3,TB!$H$6:$H$225,0)))/RND)</f>
        <v/>
      </c>
      <c r="D65" s="168">
        <f>IF(B65="","",1*(INDEX(TB!$D$6:$D$225,MATCH("OTHEXP#"&amp;3,TB!$H$6:$H$225,0))-INDEX(TB!$E$6:$E$225,MATCH("OTHEXP#"&amp;3,TB!$H$6:$H$225,0)))/RND)</f>
        <v/>
      </c>
    </row>
    <row r="66" ht="15" customHeight="1" s="90">
      <c r="B66" s="167">
        <f>IFERROR(INDEX(TB!$A$6:$A$225,MATCH("OTHEXP#"&amp;4,TB!$H$6:$H$225,0)),"")</f>
        <v/>
      </c>
      <c r="C66" s="168">
        <f>IF(B66="","",1*(INDEX(TB!$B$6:$B$225,MATCH("OTHEXP#"&amp;4,TB!$H$6:$H$225,0))-INDEX(TB!$C$6:$C$225,MATCH("OTHEXP#"&amp;4,TB!$H$6:$H$225,0)))/RND)</f>
        <v/>
      </c>
      <c r="D66" s="168">
        <f>IF(B66="","",1*(INDEX(TB!$D$6:$D$225,MATCH("OTHEXP#"&amp;4,TB!$H$6:$H$225,0))-INDEX(TB!$E$6:$E$225,MATCH("OTHEXP#"&amp;4,TB!$H$6:$H$225,0)))/RND)</f>
        <v/>
      </c>
    </row>
    <row r="67" ht="15" customHeight="1" s="90">
      <c r="B67" s="167">
        <f>IFERROR(INDEX(TB!$A$6:$A$225,MATCH("OTHEXP#"&amp;5,TB!$H$6:$H$225,0)),"")</f>
        <v/>
      </c>
      <c r="C67" s="168">
        <f>IF(B67="","",1*(INDEX(TB!$B$6:$B$225,MATCH("OTHEXP#"&amp;5,TB!$H$6:$H$225,0))-INDEX(TB!$C$6:$C$225,MATCH("OTHEXP#"&amp;5,TB!$H$6:$H$225,0)))/RND)</f>
        <v/>
      </c>
      <c r="D67" s="168">
        <f>IF(B67="","",1*(INDEX(TB!$D$6:$D$225,MATCH("OTHEXP#"&amp;5,TB!$H$6:$H$225,0))-INDEX(TB!$E$6:$E$225,MATCH("OTHEXP#"&amp;5,TB!$H$6:$H$225,0)))/RND)</f>
        <v/>
      </c>
    </row>
    <row r="68" ht="15" customHeight="1" s="90">
      <c r="B68" s="167">
        <f>IFERROR(INDEX(TB!$A$6:$A$225,MATCH("OTHEXP#"&amp;6,TB!$H$6:$H$225,0)),"")</f>
        <v/>
      </c>
      <c r="C68" s="168">
        <f>IF(B68="","",1*(INDEX(TB!$B$6:$B$225,MATCH("OTHEXP#"&amp;6,TB!$H$6:$H$225,0))-INDEX(TB!$C$6:$C$225,MATCH("OTHEXP#"&amp;6,TB!$H$6:$H$225,0)))/RND)</f>
        <v/>
      </c>
      <c r="D68" s="168">
        <f>IF(B68="","",1*(INDEX(TB!$D$6:$D$225,MATCH("OTHEXP#"&amp;6,TB!$H$6:$H$225,0))-INDEX(TB!$E$6:$E$225,MATCH("OTHEXP#"&amp;6,TB!$H$6:$H$225,0)))/RND)</f>
        <v/>
      </c>
    </row>
    <row r="69" ht="15" customHeight="1" s="90">
      <c r="B69" s="167">
        <f>IFERROR(INDEX(TB!$A$6:$A$225,MATCH("OTHEXP#"&amp;7,TB!$H$6:$H$225,0)),"")</f>
        <v/>
      </c>
      <c r="C69" s="168">
        <f>IF(B69="","",1*(INDEX(TB!$B$6:$B$225,MATCH("OTHEXP#"&amp;7,TB!$H$6:$H$225,0))-INDEX(TB!$C$6:$C$225,MATCH("OTHEXP#"&amp;7,TB!$H$6:$H$225,0)))/RND)</f>
        <v/>
      </c>
      <c r="D69" s="168">
        <f>IF(B69="","",1*(INDEX(TB!$D$6:$D$225,MATCH("OTHEXP#"&amp;7,TB!$H$6:$H$225,0))-INDEX(TB!$E$6:$E$225,MATCH("OTHEXP#"&amp;7,TB!$H$6:$H$225,0)))/RND)</f>
        <v/>
      </c>
    </row>
    <row r="70" ht="15" customHeight="1" s="90">
      <c r="B70" s="167">
        <f>IFERROR(INDEX(TB!$A$6:$A$225,MATCH("OTHEXP#"&amp;8,TB!$H$6:$H$225,0)),"")</f>
        <v/>
      </c>
      <c r="C70" s="168">
        <f>IF(B70="","",1*(INDEX(TB!$B$6:$B$225,MATCH("OTHEXP#"&amp;8,TB!$H$6:$H$225,0))-INDEX(TB!$C$6:$C$225,MATCH("OTHEXP#"&amp;8,TB!$H$6:$H$225,0)))/RND)</f>
        <v/>
      </c>
      <c r="D70" s="168">
        <f>IF(B70="","",1*(INDEX(TB!$D$6:$D$225,MATCH("OTHEXP#"&amp;8,TB!$H$6:$H$225,0))-INDEX(TB!$E$6:$E$225,MATCH("OTHEXP#"&amp;8,TB!$H$6:$H$225,0)))/RND)</f>
        <v/>
      </c>
    </row>
    <row r="71" ht="15" customHeight="1" s="90">
      <c r="B71" s="167">
        <f>IFERROR(INDEX(TB!$A$6:$A$225,MATCH("OTHEXP#"&amp;9,TB!$H$6:$H$225,0)),"")</f>
        <v/>
      </c>
      <c r="C71" s="168">
        <f>IF(B71="","",1*(INDEX(TB!$B$6:$B$225,MATCH("OTHEXP#"&amp;9,TB!$H$6:$H$225,0))-INDEX(TB!$C$6:$C$225,MATCH("OTHEXP#"&amp;9,TB!$H$6:$H$225,0)))/RND)</f>
        <v/>
      </c>
      <c r="D71" s="168">
        <f>IF(B71="","",1*(INDEX(TB!$D$6:$D$225,MATCH("OTHEXP#"&amp;9,TB!$H$6:$H$225,0))-INDEX(TB!$E$6:$E$225,MATCH("OTHEXP#"&amp;9,TB!$H$6:$H$225,0)))/RND)</f>
        <v/>
      </c>
    </row>
    <row r="72" ht="15" customHeight="1" s="90">
      <c r="B72" s="167">
        <f>IFERROR(INDEX(TB!$A$6:$A$225,MATCH("OTHEXP#"&amp;10,TB!$H$6:$H$225,0)),"")</f>
        <v/>
      </c>
      <c r="C72" s="168">
        <f>IF(B72="","",1*(INDEX(TB!$B$6:$B$225,MATCH("OTHEXP#"&amp;10,TB!$H$6:$H$225,0))-INDEX(TB!$C$6:$C$225,MATCH("OTHEXP#"&amp;10,TB!$H$6:$H$225,0)))/RND)</f>
        <v/>
      </c>
      <c r="D72" s="168">
        <f>IF(B72="","",1*(INDEX(TB!$D$6:$D$225,MATCH("OTHEXP#"&amp;10,TB!$H$6:$H$225,0))-INDEX(TB!$E$6:$E$225,MATCH("OTHEXP#"&amp;10,TB!$H$6:$H$225,0)))/RND)</f>
        <v/>
      </c>
    </row>
    <row r="73" ht="15" customHeight="1" s="90">
      <c r="B73" s="167">
        <f>IFERROR(INDEX(TB!$A$6:$A$225,MATCH("OTHEXP#"&amp;11,TB!$H$6:$H$225,0)),"")</f>
        <v/>
      </c>
      <c r="C73" s="168">
        <f>IF(B73="","",1*(INDEX(TB!$B$6:$B$225,MATCH("OTHEXP#"&amp;11,TB!$H$6:$H$225,0))-INDEX(TB!$C$6:$C$225,MATCH("OTHEXP#"&amp;11,TB!$H$6:$H$225,0)))/RND)</f>
        <v/>
      </c>
      <c r="D73" s="168">
        <f>IF(B73="","",1*(INDEX(TB!$D$6:$D$225,MATCH("OTHEXP#"&amp;11,TB!$H$6:$H$225,0))-INDEX(TB!$E$6:$E$225,MATCH("OTHEXP#"&amp;11,TB!$H$6:$H$225,0)))/RND)</f>
        <v/>
      </c>
    </row>
    <row r="74" ht="15" customHeight="1" s="90">
      <c r="B74" s="167">
        <f>IFERROR(INDEX(TB!$A$6:$A$225,MATCH("OTHEXP#"&amp;12,TB!$H$6:$H$225,0)),"")</f>
        <v/>
      </c>
      <c r="C74" s="168">
        <f>IF(B74="","",1*(INDEX(TB!$B$6:$B$225,MATCH("OTHEXP#"&amp;12,TB!$H$6:$H$225,0))-INDEX(TB!$C$6:$C$225,MATCH("OTHEXP#"&amp;12,TB!$H$6:$H$225,0)))/RND)</f>
        <v/>
      </c>
      <c r="D74" s="168">
        <f>IF(B74="","",1*(INDEX(TB!$D$6:$D$225,MATCH("OTHEXP#"&amp;12,TB!$H$6:$H$225,0))-INDEX(TB!$E$6:$E$225,MATCH("OTHEXP#"&amp;12,TB!$H$6:$H$225,0)))/RND)</f>
        <v/>
      </c>
    </row>
    <row r="75" ht="15" customHeight="1" s="90">
      <c r="B75" s="167">
        <f>IFERROR(INDEX(TB!$A$6:$A$225,MATCH("OTHEXP#"&amp;13,TB!$H$6:$H$225,0)),"")</f>
        <v/>
      </c>
      <c r="C75" s="168">
        <f>IF(B75="","",1*(INDEX(TB!$B$6:$B$225,MATCH("OTHEXP#"&amp;13,TB!$H$6:$H$225,0))-INDEX(TB!$C$6:$C$225,MATCH("OTHEXP#"&amp;13,TB!$H$6:$H$225,0)))/RND)</f>
        <v/>
      </c>
      <c r="D75" s="168">
        <f>IF(B75="","",1*(INDEX(TB!$D$6:$D$225,MATCH("OTHEXP#"&amp;13,TB!$H$6:$H$225,0))-INDEX(TB!$E$6:$E$225,MATCH("OTHEXP#"&amp;13,TB!$H$6:$H$225,0)))/RND)</f>
        <v/>
      </c>
    </row>
    <row r="76" ht="15" customHeight="1" s="90">
      <c r="B76" s="167">
        <f>IFERROR(INDEX(TB!$A$6:$A$225,MATCH("OTHEXP#"&amp;14,TB!$H$6:$H$225,0)),"")</f>
        <v/>
      </c>
      <c r="C76" s="168">
        <f>IF(B76="","",1*(INDEX(TB!$B$6:$B$225,MATCH("OTHEXP#"&amp;14,TB!$H$6:$H$225,0))-INDEX(TB!$C$6:$C$225,MATCH("OTHEXP#"&amp;14,TB!$H$6:$H$225,0)))/RND)</f>
        <v/>
      </c>
      <c r="D76" s="168">
        <f>IF(B76="","",1*(INDEX(TB!$D$6:$D$225,MATCH("OTHEXP#"&amp;14,TB!$H$6:$H$225,0))-INDEX(TB!$E$6:$E$225,MATCH("OTHEXP#"&amp;14,TB!$H$6:$H$225,0)))/RND)</f>
        <v/>
      </c>
    </row>
    <row r="77" ht="15" customHeight="1" s="90">
      <c r="B77" s="167">
        <f>IFERROR(INDEX(TB!$A$6:$A$225,MATCH("OTHEXP#"&amp;15,TB!$H$6:$H$225,0)),"")</f>
        <v/>
      </c>
      <c r="C77" s="168">
        <f>IF(B77="","",1*(INDEX(TB!$B$6:$B$225,MATCH("OTHEXP#"&amp;15,TB!$H$6:$H$225,0))-INDEX(TB!$C$6:$C$225,MATCH("OTHEXP#"&amp;15,TB!$H$6:$H$225,0)))/RND)</f>
        <v/>
      </c>
      <c r="D77" s="168">
        <f>IF(B77="","",1*(INDEX(TB!$D$6:$D$225,MATCH("OTHEXP#"&amp;15,TB!$H$6:$H$225,0))-INDEX(TB!$E$6:$E$225,MATCH("OTHEXP#"&amp;15,TB!$H$6:$H$225,0)))/RND)</f>
        <v/>
      </c>
    </row>
    <row r="78" ht="15" customHeight="1" s="90">
      <c r="B78" s="167">
        <f>IFERROR(INDEX(TB!$A$6:$A$225,MATCH("OTHEXP#"&amp;16,TB!$H$6:$H$225,0)),"")</f>
        <v/>
      </c>
      <c r="C78" s="168">
        <f>IF(B78="","",1*(INDEX(TB!$B$6:$B$225,MATCH("OTHEXP#"&amp;16,TB!$H$6:$H$225,0))-INDEX(TB!$C$6:$C$225,MATCH("OTHEXP#"&amp;16,TB!$H$6:$H$225,0)))/RND)</f>
        <v/>
      </c>
      <c r="D78" s="168">
        <f>IF(B78="","",1*(INDEX(TB!$D$6:$D$225,MATCH("OTHEXP#"&amp;16,TB!$H$6:$H$225,0))-INDEX(TB!$E$6:$E$225,MATCH("OTHEXP#"&amp;16,TB!$H$6:$H$225,0)))/RND)</f>
        <v/>
      </c>
    </row>
    <row r="79" ht="15" customHeight="1" s="90">
      <c r="B79" s="167">
        <f>IFERROR(INDEX(TB!$A$6:$A$225,MATCH("OTHEXP#"&amp;17,TB!$H$6:$H$225,0)),"")</f>
        <v/>
      </c>
      <c r="C79" s="168">
        <f>IF(B79="","",1*(INDEX(TB!$B$6:$B$225,MATCH("OTHEXP#"&amp;17,TB!$H$6:$H$225,0))-INDEX(TB!$C$6:$C$225,MATCH("OTHEXP#"&amp;17,TB!$H$6:$H$225,0)))/RND)</f>
        <v/>
      </c>
      <c r="D79" s="168">
        <f>IF(B79="","",1*(INDEX(TB!$D$6:$D$225,MATCH("OTHEXP#"&amp;17,TB!$H$6:$H$225,0))-INDEX(TB!$E$6:$E$225,MATCH("OTHEXP#"&amp;17,TB!$H$6:$H$225,0)))/RND)</f>
        <v/>
      </c>
    </row>
    <row r="80" ht="15" customHeight="1" s="90">
      <c r="B80" s="167">
        <f>IFERROR(INDEX(TB!$A$6:$A$225,MATCH("OTHEXP#"&amp;18,TB!$H$6:$H$225,0)),"")</f>
        <v/>
      </c>
      <c r="C80" s="168">
        <f>IF(B80="","",1*(INDEX(TB!$B$6:$B$225,MATCH("OTHEXP#"&amp;18,TB!$H$6:$H$225,0))-INDEX(TB!$C$6:$C$225,MATCH("OTHEXP#"&amp;18,TB!$H$6:$H$225,0)))/RND)</f>
        <v/>
      </c>
      <c r="D80" s="168">
        <f>IF(B80="","",1*(INDEX(TB!$D$6:$D$225,MATCH("OTHEXP#"&amp;18,TB!$H$6:$H$225,0))-INDEX(TB!$E$6:$E$225,MATCH("OTHEXP#"&amp;18,TB!$H$6:$H$225,0)))/RND)</f>
        <v/>
      </c>
    </row>
    <row r="81" ht="15" customHeight="1" s="90">
      <c r="B81" s="167">
        <f>IFERROR(INDEX(TB!$A$6:$A$225,MATCH("OTHEXP#"&amp;19,TB!$H$6:$H$225,0)),"")</f>
        <v/>
      </c>
      <c r="C81" s="168">
        <f>IF(B81="","",1*(INDEX(TB!$B$6:$B$225,MATCH("OTHEXP#"&amp;19,TB!$H$6:$H$225,0))-INDEX(TB!$C$6:$C$225,MATCH("OTHEXP#"&amp;19,TB!$H$6:$H$225,0)))/RND)</f>
        <v/>
      </c>
      <c r="D81" s="168">
        <f>IF(B81="","",1*(INDEX(TB!$D$6:$D$225,MATCH("OTHEXP#"&amp;19,TB!$H$6:$H$225,0))-INDEX(TB!$E$6:$E$225,MATCH("OTHEXP#"&amp;19,TB!$H$6:$H$225,0)))/RND)</f>
        <v/>
      </c>
    </row>
    <row r="82" ht="15" customHeight="1" s="90">
      <c r="B82" s="167">
        <f>IFERROR(INDEX(TB!$A$6:$A$225,MATCH("OTHEXP#"&amp;20,TB!$H$6:$H$225,0)),"")</f>
        <v/>
      </c>
      <c r="C82" s="168">
        <f>IF(B82="","",1*(INDEX(TB!$B$6:$B$225,MATCH("OTHEXP#"&amp;20,TB!$H$6:$H$225,0))-INDEX(TB!$C$6:$C$225,MATCH("OTHEXP#"&amp;20,TB!$H$6:$H$225,0)))/RND)</f>
        <v/>
      </c>
      <c r="D82" s="168">
        <f>IF(B82="","",1*(INDEX(TB!$D$6:$D$225,MATCH("OTHEXP#"&amp;20,TB!$H$6:$H$225,0))-INDEX(TB!$E$6:$E$225,MATCH("OTHEXP#"&amp;20,TB!$H$6:$H$225,0)))/RND)</f>
        <v/>
      </c>
    </row>
    <row r="83" ht="15" customHeight="1" s="90">
      <c r="B83" s="167">
        <f>IFERROR(INDEX(TB!$A$6:$A$225,MATCH("OTHEXP#"&amp;21,TB!$H$6:$H$225,0)),"")</f>
        <v/>
      </c>
      <c r="C83" s="168">
        <f>IF(B83="","",1*(INDEX(TB!$B$6:$B$225,MATCH("OTHEXP#"&amp;21,TB!$H$6:$H$225,0))-INDEX(TB!$C$6:$C$225,MATCH("OTHEXP#"&amp;21,TB!$H$6:$H$225,0)))/RND)</f>
        <v/>
      </c>
      <c r="D83" s="168">
        <f>IF(B83="","",1*(INDEX(TB!$D$6:$D$225,MATCH("OTHEXP#"&amp;21,TB!$H$6:$H$225,0))-INDEX(TB!$E$6:$E$225,MATCH("OTHEXP#"&amp;21,TB!$H$6:$H$225,0)))/RND)</f>
        <v/>
      </c>
    </row>
    <row r="84" ht="15" customHeight="1" s="90">
      <c r="B84" s="167">
        <f>IFERROR(INDEX(TB!$A$6:$A$225,MATCH("OTHEXP#"&amp;22,TB!$H$6:$H$225,0)),"")</f>
        <v/>
      </c>
      <c r="C84" s="168">
        <f>IF(B84="","",1*(INDEX(TB!$B$6:$B$225,MATCH("OTHEXP#"&amp;22,TB!$H$6:$H$225,0))-INDEX(TB!$C$6:$C$225,MATCH("OTHEXP#"&amp;22,TB!$H$6:$H$225,0)))/RND)</f>
        <v/>
      </c>
      <c r="D84" s="168">
        <f>IF(B84="","",1*(INDEX(TB!$D$6:$D$225,MATCH("OTHEXP#"&amp;22,TB!$H$6:$H$225,0))-INDEX(TB!$E$6:$E$225,MATCH("OTHEXP#"&amp;22,TB!$H$6:$H$225,0)))/RND)</f>
        <v/>
      </c>
    </row>
    <row r="85" ht="15" customHeight="1" s="90">
      <c r="B85" s="167">
        <f>IFERROR(INDEX(TB!$A$6:$A$225,MATCH("OTHEXP#"&amp;23,TB!$H$6:$H$225,0)),"")</f>
        <v/>
      </c>
      <c r="C85" s="168">
        <f>IF(B85="","",1*(INDEX(TB!$B$6:$B$225,MATCH("OTHEXP#"&amp;23,TB!$H$6:$H$225,0))-INDEX(TB!$C$6:$C$225,MATCH("OTHEXP#"&amp;23,TB!$H$6:$H$225,0)))/RND)</f>
        <v/>
      </c>
      <c r="D85" s="168">
        <f>IF(B85="","",1*(INDEX(TB!$D$6:$D$225,MATCH("OTHEXP#"&amp;23,TB!$H$6:$H$225,0))-INDEX(TB!$E$6:$E$225,MATCH("OTHEXP#"&amp;23,TB!$H$6:$H$225,0)))/RND)</f>
        <v/>
      </c>
    </row>
    <row r="86" ht="15" customHeight="1" s="90">
      <c r="B86" s="167">
        <f>IFERROR(INDEX(TB!$A$6:$A$225,MATCH("OTHEXP#"&amp;24,TB!$H$6:$H$225,0)),"")</f>
        <v/>
      </c>
      <c r="C86" s="168">
        <f>IF(B86="","",1*(INDEX(TB!$B$6:$B$225,MATCH("OTHEXP#"&amp;24,TB!$H$6:$H$225,0))-INDEX(TB!$C$6:$C$225,MATCH("OTHEXP#"&amp;24,TB!$H$6:$H$225,0)))/RND)</f>
        <v/>
      </c>
      <c r="D86" s="168">
        <f>IF(B86="","",1*(INDEX(TB!$D$6:$D$225,MATCH("OTHEXP#"&amp;24,TB!$H$6:$H$225,0))-INDEX(TB!$E$6:$E$225,MATCH("OTHEXP#"&amp;24,TB!$H$6:$H$225,0)))/RND)</f>
        <v/>
      </c>
    </row>
    <row r="87" ht="15" customHeight="1" s="90">
      <c r="B87" s="167" t="inlineStr">
        <is>
          <t>Other items (grouped)</t>
        </is>
      </c>
      <c r="C87" s="168">
        <f>1*Calc!$B$35/RND-SUM(C63:C86)</f>
        <v/>
      </c>
      <c r="D87" s="168">
        <f>1*Calc!$C$35/RND-SUM(D63:D86)</f>
        <v/>
      </c>
    </row>
    <row r="88" ht="15" customHeight="1" s="90">
      <c r="B88" s="170" t="inlineStr">
        <is>
          <t>Total</t>
        </is>
      </c>
      <c r="C88" s="171">
        <f>1*Calc!$B$35/RND</f>
        <v/>
      </c>
      <c r="D88" s="171">
        <f>1*Calc!$C$35/RND</f>
        <v/>
      </c>
    </row>
    <row r="90" ht="15" customHeight="1" s="90">
      <c r="B90" s="122">
        <f>"Note "&amp;PL!$C$26&amp;" - Earnings per share (AS 20)"</f>
        <v/>
      </c>
    </row>
    <row r="91" ht="27.75" customHeight="1" s="90">
      <c r="B91" s="165" t="inlineStr">
        <is>
          <t>Particulars</t>
        </is>
      </c>
      <c r="C91" s="166">
        <f>"Year ended "&amp;TEXT(BSD,"dd mmmm yyyy")</f>
        <v/>
      </c>
      <c r="D91" s="166">
        <f>"Year ended "&amp;TEXT(PBSD,"dd mmmm yyyy")</f>
        <v/>
      </c>
    </row>
    <row r="92" ht="31.5" customHeight="1" s="90">
      <c r="B92" s="167" t="inlineStr">
        <is>
          <t>Net profit after tax attributable to equity shareholders</t>
        </is>
      </c>
      <c r="C92" s="168">
        <f>EPS!$B$21/RND</f>
        <v/>
      </c>
      <c r="D92" s="168">
        <f>Calc!$C$46/RND</f>
        <v/>
      </c>
    </row>
    <row r="93" ht="15" customHeight="1" s="90">
      <c r="B93" s="167" t="inlineStr">
        <is>
          <t>Weighted average number of equity shares</t>
        </is>
      </c>
      <c r="C93" s="173">
        <f>EPS!$B$17</f>
        <v/>
      </c>
      <c r="D93" s="173">
        <f>Setup!$C$23</f>
        <v/>
      </c>
    </row>
    <row r="94" ht="15" customHeight="1" s="90">
      <c r="B94" s="167" t="inlineStr">
        <is>
          <t>Nominal value per equity share (Rs)</t>
        </is>
      </c>
      <c r="C94" s="174">
        <f>Setup!$C$20</f>
        <v/>
      </c>
      <c r="D94" s="174">
        <f>Setup!$C$20</f>
        <v/>
      </c>
    </row>
    <row r="95" ht="15" customHeight="1" s="90">
      <c r="B95" s="170" t="inlineStr">
        <is>
          <t>Basic earnings per share (Rs)</t>
        </is>
      </c>
      <c r="C95" s="174">
        <f>EPS!$B$22</f>
        <v/>
      </c>
      <c r="D95" s="174">
        <f>EPS!$B$29</f>
        <v/>
      </c>
    </row>
    <row r="96" ht="15" customHeight="1" s="90">
      <c r="B96" s="170" t="inlineStr">
        <is>
          <t>Diluted earnings per share (Rs)</t>
        </is>
      </c>
      <c r="C96" s="174">
        <f>IF(Setup!C16="Yes","Exempt - SMC",EPS!$B$27)</f>
        <v/>
      </c>
      <c r="D96" s="174">
        <f>IF(Setup!C16="Yes","Exempt - SMC",EPS!$B$30)</f>
        <v/>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1"/>
  </sheetPr>
  <dimension ref="B2:D4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89" min="1" max="1"/>
    <col width="44" customWidth="1" style="89" min="2" max="2"/>
    <col width="13" customWidth="1" style="89" min="3" max="8"/>
  </cols>
  <sheetData>
    <row r="2" ht="17.25" customHeight="1" s="90">
      <c r="B2" s="121" t="inlineStr">
        <is>
          <t>Other notes</t>
        </is>
      </c>
    </row>
    <row r="5" ht="15" customHeight="1" s="90">
      <c r="B5" s="122" t="inlineStr">
        <is>
          <t>Note 29 - Contingent liabilities and commitments</t>
        </is>
      </c>
    </row>
    <row r="6" ht="27.75" customHeight="1" s="90">
      <c r="B6" s="165" t="inlineStr">
        <is>
          <t>Particulars</t>
        </is>
      </c>
      <c r="C6" s="166">
        <f>"As at "&amp;TEXT(BSD,"dd mmmm yyyy")</f>
        <v/>
      </c>
      <c r="D6" s="166">
        <f>"As at "&amp;TEXT(PBSD,"dd mmmm yyyy")</f>
        <v/>
      </c>
    </row>
    <row r="7" ht="31.5" customHeight="1" s="90">
      <c r="B7" s="167" t="inlineStr">
        <is>
          <t>Claims against the company not acknowledged as debts</t>
        </is>
      </c>
      <c r="C7" s="169" t="n">
        <v>0</v>
      </c>
      <c r="D7" s="169" t="n">
        <v>0</v>
      </c>
    </row>
    <row r="8" ht="15" customHeight="1" s="90">
      <c r="B8" s="167" t="inlineStr">
        <is>
          <t>Guarantees given</t>
        </is>
      </c>
      <c r="C8" s="169" t="n">
        <v>0</v>
      </c>
      <c r="D8" s="169" t="n">
        <v>0</v>
      </c>
    </row>
    <row r="9" ht="15" customHeight="1" s="90">
      <c r="B9" s="167" t="inlineStr">
        <is>
          <t>Other contingent liabilities</t>
        </is>
      </c>
      <c r="C9" s="169" t="n">
        <v>0</v>
      </c>
      <c r="D9" s="169" t="n">
        <v>0</v>
      </c>
    </row>
    <row r="11" ht="31.5" customHeight="1" s="90">
      <c r="B11" s="167" t="inlineStr">
        <is>
          <t>Estimated capital commitments (net of advances)</t>
        </is>
      </c>
      <c r="C11" s="169" t="n">
        <v>0</v>
      </c>
      <c r="D11" s="169" t="n">
        <v>0</v>
      </c>
    </row>
    <row r="12" ht="15" customHeight="1" s="90">
      <c r="B12" s="167" t="inlineStr">
        <is>
          <t>Other commitments</t>
        </is>
      </c>
      <c r="C12" s="169" t="n">
        <v>0</v>
      </c>
      <c r="D12" s="169" t="n">
        <v>0</v>
      </c>
    </row>
    <row r="14" ht="15" customHeight="1" s="90">
      <c r="B14" s="122" t="inlineStr">
        <is>
          <t>Note 30 - Payments to the auditor</t>
        </is>
      </c>
    </row>
    <row r="15" ht="27.75" customHeight="1" s="90">
      <c r="B15" s="165" t="inlineStr">
        <is>
          <t>Particulars</t>
        </is>
      </c>
      <c r="C15" s="166">
        <f>"As at "&amp;TEXT(BSD,"dd mmmm yyyy")</f>
        <v/>
      </c>
      <c r="D15" s="166">
        <f>"As at "&amp;TEXT(PBSD,"dd mmmm yyyy")</f>
        <v/>
      </c>
    </row>
    <row r="16" ht="15" customHeight="1" s="90">
      <c r="B16" s="167" t="inlineStr">
        <is>
          <t>Statutory audit fee</t>
        </is>
      </c>
      <c r="C16" s="169" t="n">
        <v>0</v>
      </c>
      <c r="D16" s="169" t="n">
        <v>0</v>
      </c>
    </row>
    <row r="17" ht="15" customHeight="1" s="90">
      <c r="B17" s="167" t="inlineStr">
        <is>
          <t>Tax audit fee</t>
        </is>
      </c>
      <c r="C17" s="169" t="n">
        <v>0</v>
      </c>
      <c r="D17" s="169" t="n">
        <v>0</v>
      </c>
    </row>
    <row r="18" ht="15" customHeight="1" s="90">
      <c r="B18" s="167" t="inlineStr">
        <is>
          <t>Taxation and other services</t>
        </is>
      </c>
      <c r="C18" s="169" t="n">
        <v>0</v>
      </c>
      <c r="D18" s="169" t="n">
        <v>0</v>
      </c>
    </row>
    <row r="19" ht="15" customHeight="1" s="90">
      <c r="B19" s="167" t="inlineStr">
        <is>
          <t>Reimbursement of expenses</t>
        </is>
      </c>
      <c r="C19" s="169" t="n">
        <v>0</v>
      </c>
      <c r="D19" s="169" t="n">
        <v>0</v>
      </c>
    </row>
    <row r="21" ht="15" customHeight="1" s="90">
      <c r="B21" s="122" t="inlineStr">
        <is>
          <t>Note 31 - CSR (Section 135) and MSME interest</t>
        </is>
      </c>
    </row>
    <row r="22" ht="27.75" customHeight="1" s="90">
      <c r="B22" s="165" t="inlineStr">
        <is>
          <t>Particulars</t>
        </is>
      </c>
      <c r="C22" s="166">
        <f>"As at "&amp;TEXT(BSD,"dd mmmm yyyy")</f>
        <v/>
      </c>
      <c r="D22" s="166">
        <f>"As at "&amp;TEXT(PBSD,"dd mmmm yyyy")</f>
        <v/>
      </c>
    </row>
    <row r="23" ht="31.5" customHeight="1" s="90">
      <c r="B23" s="167" t="inlineStr">
        <is>
          <t>Amount required to be spent on CSR during the year</t>
        </is>
      </c>
      <c r="C23" s="169" t="n">
        <v>0</v>
      </c>
      <c r="D23" s="169" t="n">
        <v>0</v>
      </c>
    </row>
    <row r="24" ht="15" customHeight="1" s="90">
      <c r="B24" s="167" t="inlineStr">
        <is>
          <t>Amount actually spent during the year</t>
        </is>
      </c>
      <c r="C24" s="169" t="n">
        <v>0</v>
      </c>
      <c r="D24" s="169" t="n">
        <v>0</v>
      </c>
    </row>
    <row r="25" ht="15" customHeight="1" s="90">
      <c r="B25" s="167" t="inlineStr">
        <is>
          <t>Shortfall / (excess) at the end of the year</t>
        </is>
      </c>
      <c r="C25" s="169" t="n">
        <v>0</v>
      </c>
      <c r="D25" s="169" t="n">
        <v>0</v>
      </c>
    </row>
    <row r="26" ht="31.5" customHeight="1" s="90">
      <c r="B26" s="167" t="inlineStr">
        <is>
          <t>Interest paid or payable to MSME suppliers (MSMED Act)</t>
        </is>
      </c>
      <c r="C26" s="169" t="n">
        <v>0</v>
      </c>
      <c r="D26" s="169" t="n">
        <v>0</v>
      </c>
    </row>
    <row r="28" ht="15" customHeight="1" s="90">
      <c r="B28" s="122" t="inlineStr">
        <is>
          <t>Note 32 - Additional regulatory information (Schedule III, 2021 amendment)</t>
        </is>
      </c>
    </row>
    <row r="29" ht="15" customHeight="1" s="90">
      <c r="B29" s="165" t="inlineStr">
        <is>
          <t>Item</t>
        </is>
      </c>
      <c r="C29" s="166" t="inlineStr">
        <is>
          <t>Answer</t>
        </is>
      </c>
      <c r="D29" s="165" t="inlineStr">
        <is>
          <t>Details if Yes</t>
        </is>
      </c>
    </row>
    <row r="30" ht="31.5" customHeight="1" s="90">
      <c r="B30" s="167" t="inlineStr">
        <is>
          <t>Title deeds of immovable property not held in the name of the company</t>
        </is>
      </c>
      <c r="C30" s="175" t="inlineStr">
        <is>
          <t>No</t>
        </is>
      </c>
      <c r="D30" s="169" t="n"/>
    </row>
    <row r="31" ht="31.5" customHeight="1" s="90">
      <c r="B31" s="167" t="inlineStr">
        <is>
          <t>Investment property / revaluation of PPE during the year</t>
        </is>
      </c>
      <c r="C31" s="175" t="inlineStr">
        <is>
          <t>No</t>
        </is>
      </c>
      <c r="D31" s="169" t="n"/>
    </row>
    <row r="32" ht="31.5" customHeight="1" s="90">
      <c r="B32" s="167" t="inlineStr">
        <is>
          <t>Loans or advances to promoters, directors, KMP or related parties (repayable on demand or without terms)</t>
        </is>
      </c>
      <c r="C32" s="175" t="inlineStr">
        <is>
          <t>No</t>
        </is>
      </c>
      <c r="D32" s="169" t="n"/>
    </row>
    <row r="33" ht="31.5" customHeight="1" s="90">
      <c r="B33" s="167" t="inlineStr">
        <is>
          <t>Benami property proceedings initiated or pending</t>
        </is>
      </c>
      <c r="C33" s="175" t="inlineStr">
        <is>
          <t>No</t>
        </is>
      </c>
      <c r="D33" s="169" t="n"/>
    </row>
    <row r="34" ht="31.5" customHeight="1" s="90">
      <c r="B34" s="167" t="inlineStr">
        <is>
          <t>Borrowings from banks on security of current assets (quarterly returns filed?)</t>
        </is>
      </c>
      <c r="C34" s="175" t="inlineStr">
        <is>
          <t>No</t>
        </is>
      </c>
      <c r="D34" s="169" t="n"/>
    </row>
    <row r="35" ht="31.5" customHeight="1" s="90">
      <c r="B35" s="167" t="inlineStr">
        <is>
          <t>Quarterly returns/statements agree with books of account</t>
        </is>
      </c>
      <c r="C35" s="175" t="inlineStr">
        <is>
          <t>No</t>
        </is>
      </c>
      <c r="D35" s="169" t="n"/>
    </row>
    <row r="36" ht="31.5" customHeight="1" s="90">
      <c r="B36" s="167" t="inlineStr">
        <is>
          <t>Company declared wilful defaulter by any bank or institution</t>
        </is>
      </c>
      <c r="C36" s="175" t="inlineStr">
        <is>
          <t>No</t>
        </is>
      </c>
      <c r="D36" s="169" t="n"/>
    </row>
    <row r="37" ht="31.5" customHeight="1" s="90">
      <c r="B37" s="167" t="inlineStr">
        <is>
          <t>Transactions with companies struck off under section 248</t>
        </is>
      </c>
      <c r="C37" s="175" t="inlineStr">
        <is>
          <t>No</t>
        </is>
      </c>
      <c r="D37" s="169" t="n"/>
    </row>
    <row r="38" ht="31.5" customHeight="1" s="90">
      <c r="B38" s="167" t="inlineStr">
        <is>
          <t>Registration of charges or satisfaction pending beyond the statutory period</t>
        </is>
      </c>
      <c r="C38" s="175" t="inlineStr">
        <is>
          <t>No</t>
        </is>
      </c>
      <c r="D38" s="169" t="n"/>
    </row>
    <row r="39" ht="31.5" customHeight="1" s="90">
      <c r="B39" s="167" t="inlineStr">
        <is>
          <t>Compliance with number of layers of companies (section 2(87))</t>
        </is>
      </c>
      <c r="C39" s="175" t="inlineStr">
        <is>
          <t>No</t>
        </is>
      </c>
      <c r="D39" s="169" t="n"/>
    </row>
    <row r="40" ht="30" customHeight="1" s="90">
      <c r="B40" s="167" t="inlineStr">
        <is>
          <t>Scheme of arrangement approved during the year</t>
        </is>
      </c>
      <c r="C40" s="175" t="inlineStr">
        <is>
          <t>No</t>
        </is>
      </c>
      <c r="D40" s="169" t="n"/>
    </row>
    <row r="41" ht="31.5" customHeight="1" s="90">
      <c r="B41" s="167" t="inlineStr">
        <is>
          <t>Funds advanced/loaned to intermediaries for further lending or guarantee (ultimate beneficiaries)</t>
        </is>
      </c>
      <c r="C41" s="175" t="inlineStr">
        <is>
          <t>No</t>
        </is>
      </c>
      <c r="D41" s="169" t="n"/>
    </row>
    <row r="42" ht="31.5" customHeight="1" s="90">
      <c r="B42" s="167" t="inlineStr">
        <is>
          <t>Funds received with the understanding of onward lending (funding parties)</t>
        </is>
      </c>
      <c r="C42" s="175" t="inlineStr">
        <is>
          <t>No</t>
        </is>
      </c>
      <c r="D42" s="169" t="n"/>
    </row>
    <row r="43" ht="31.5" customHeight="1" s="90">
      <c r="B43" s="167" t="inlineStr">
        <is>
          <t>Undisclosed income surrendered in tax assessments during the year</t>
        </is>
      </c>
      <c r="C43" s="175" t="inlineStr">
        <is>
          <t>No</t>
        </is>
      </c>
      <c r="D43" s="169" t="n"/>
    </row>
    <row r="44" ht="31.5" customHeight="1" s="90">
      <c r="B44" s="167" t="inlineStr">
        <is>
          <t>Crypto currency or virtual currency traded or invested during the year</t>
        </is>
      </c>
      <c r="C44" s="175" t="inlineStr">
        <is>
          <t>No</t>
        </is>
      </c>
      <c r="D44" s="169" t="n"/>
    </row>
    <row r="45" ht="15" customHeight="1" s="90">
      <c r="B45" s="167" t="inlineStr">
        <is>
          <t>CSR applicability and shortfall, if any</t>
        </is>
      </c>
      <c r="C45" s="175" t="inlineStr">
        <is>
          <t>No</t>
        </is>
      </c>
      <c r="D45" s="169" t="n"/>
    </row>
    <row r="46" ht="15" customHeight="1" s="90">
      <c r="B46" s="167" t="inlineStr">
        <is>
          <t>Promoter shareholding change during the year</t>
        </is>
      </c>
      <c r="C46" s="175" t="inlineStr">
        <is>
          <t>No</t>
        </is>
      </c>
      <c r="D46" s="169" t="n"/>
    </row>
    <row r="48" ht="15" customHeight="1" s="90">
      <c r="B48" s="122" t="inlineStr">
        <is>
          <t>Note 33 - Financial ratios: see the Ratios sheet.</t>
        </is>
      </c>
    </row>
  </sheetData>
  <dataValidations count="1">
    <dataValidation sqref="C30:C46" showDropDown="0" showInputMessage="0" showErrorMessage="0" allowBlank="1" type="list" errorStyle="stop" operator="between">
      <formula1>"Yes,No,NA"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xl/worksheets/sheet22.xml><?xml version="1.0" encoding="utf-8"?>
<worksheet xmlns="http://schemas.openxmlformats.org/spreadsheetml/2006/main">
  <sheetPr filterMode="0">
    <tabColor rgb="FF1E3A8A"/>
    <outlinePr summaryBelow="1" summaryRight="1"/>
    <pageSetUpPr fitToPage="1"/>
  </sheetPr>
  <dimension ref="B2:H2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89" min="1" max="1"/>
    <col width="40" customWidth="1" style="89" min="2" max="2"/>
    <col width="30" customWidth="1" style="89" min="3" max="3"/>
    <col width="13" customWidth="1" style="89" min="4" max="5"/>
    <col width="11" customWidth="1" style="89" min="6" max="6"/>
    <col width="12" customWidth="1" style="89" min="7" max="7"/>
    <col width="44" customWidth="1" style="89" min="8" max="8"/>
  </cols>
  <sheetData>
    <row r="2" ht="17.25" customHeight="1" s="90">
      <c r="B2" s="103" t="inlineStr">
        <is>
          <t>Note - Analytical ratios (Schedule III, 2021 amendment)</t>
        </is>
      </c>
    </row>
    <row r="3" ht="15" customHeight="1" s="90">
      <c r="B3" s="108" t="inlineStr">
        <is>
          <t>Formulas mirror the CalcGuru Ratio Analysis Calculator. A variance beyond 25% needs a written reason - the flag column tells you where. Opening-balance inputs feed the averages; leave 0 to use closing balances.</t>
        </is>
      </c>
    </row>
    <row r="5" ht="15" customHeight="1" s="90">
      <c r="B5" s="105" t="inlineStr">
        <is>
          <t>Opening inventory (CY start, Rs)</t>
        </is>
      </c>
      <c r="C5" s="158" t="n">
        <v>0</v>
      </c>
    </row>
    <row r="6" ht="15" customHeight="1" s="90">
      <c r="B6" s="105" t="inlineStr">
        <is>
          <t>Opening trade receivables (Rs)</t>
        </is>
      </c>
      <c r="C6" s="158" t="n">
        <v>0</v>
      </c>
    </row>
    <row r="7" ht="15" customHeight="1" s="90">
      <c r="B7" s="105" t="inlineStr">
        <is>
          <t>Opening trade payables (Rs)</t>
        </is>
      </c>
      <c r="C7" s="158" t="n">
        <v>0</v>
      </c>
    </row>
    <row r="8" ht="15" customHeight="1" s="90">
      <c r="B8" s="105" t="inlineStr">
        <is>
          <t>Opening shareholders funds (Rs)</t>
        </is>
      </c>
      <c r="C8" s="158" t="n">
        <v>0</v>
      </c>
    </row>
    <row r="9" ht="15" customHeight="1" s="90">
      <c r="B9" s="105" t="inlineStr">
        <is>
          <t>Principal repaid during the year (for DSCR, Rs)</t>
        </is>
      </c>
      <c r="C9" s="158" t="n">
        <v>0</v>
      </c>
    </row>
    <row r="10" ht="15" customHeight="1" s="90">
      <c r="B10" s="105" t="inlineStr">
        <is>
          <t>Income from investments (for ROI, Rs)</t>
        </is>
      </c>
      <c r="C10" s="158" t="n">
        <v>0</v>
      </c>
    </row>
    <row r="11" ht="15" customHeight="1" s="90">
      <c r="B11" s="108" t="inlineStr">
        <is>
          <t>PY values of each ratio (enter from last year FS in column E)</t>
        </is>
      </c>
    </row>
    <row r="13" ht="26.25" customHeight="1" s="90">
      <c r="B13" s="113" t="inlineStr">
        <is>
          <t>Ratio</t>
        </is>
      </c>
      <c r="C13" s="113" t="inlineStr">
        <is>
          <t>Formula</t>
        </is>
      </c>
      <c r="D13" s="113" t="inlineStr">
        <is>
          <t>Current year</t>
        </is>
      </c>
      <c r="E13" s="113" t="inlineStr">
        <is>
          <t>Previous year</t>
        </is>
      </c>
      <c r="F13" s="113" t="inlineStr">
        <is>
          <t>Variance %</t>
        </is>
      </c>
      <c r="G13" s="113" t="inlineStr">
        <is>
          <t>Flag</t>
        </is>
      </c>
      <c r="H13" s="113" t="inlineStr">
        <is>
          <t>Reason for variance &gt; 25%</t>
        </is>
      </c>
    </row>
    <row r="14" ht="15" customHeight="1" s="90">
      <c r="B14" s="111" t="inlineStr">
        <is>
          <t>Current ratio</t>
        </is>
      </c>
      <c r="C14" s="116" t="inlineStr">
        <is>
          <t>Current assets / Current liabilities</t>
        </is>
      </c>
      <c r="D14" s="154">
        <f>IF((-Calc!$B$8+Borrowings!$J$18-Calc!$B$9-Calc!$B$10-Calc!$B$11-Calc!$B$12)=0,0,(Calc!$B$21+Calc!$B$22+Calc!$B$23+Calc!$B$24+Calc!$B$25+Calc!$B$26)/(-Calc!$B$8+Borrowings!$J$18-Calc!$B$9-Calc!$B$10-Calc!$B$11-Calc!$B$12))</f>
        <v/>
      </c>
      <c r="E14" s="176" t="n">
        <v>0</v>
      </c>
      <c r="F14" s="162">
        <f>IF(E14=0,"",(D14-E14)/ABS(E14))</f>
        <v/>
      </c>
      <c r="G14" s="177">
        <f>IF(E14=0,"",IF(ABS((D14-E14)/E14)&gt;0.25,"EXPLAIN",""))</f>
        <v/>
      </c>
      <c r="H14" s="161" t="n"/>
    </row>
    <row r="15" ht="15" customHeight="1" s="90">
      <c r="B15" s="111" t="inlineStr">
        <is>
          <t>Debt-equity ratio</t>
        </is>
      </c>
      <c r="C15" s="116" t="inlineStr">
        <is>
          <t>Total debt / Shareholders funds</t>
        </is>
      </c>
      <c r="D15" s="154">
        <f>IF((-Calc!$B$2-Calc!$B$3+Calc!$B$45)=0,0,(-Calc!$B$4-Calc!$B$8)/(-Calc!$B$2-Calc!$B$3+Calc!$B$45))</f>
        <v/>
      </c>
      <c r="E15" s="176" t="n">
        <v>0</v>
      </c>
      <c r="F15" s="162">
        <f>IF(E15=0,"",(D15-E15)/ABS(E15))</f>
        <v/>
      </c>
      <c r="G15" s="177">
        <f>IF(E15=0,"",IF(ABS((D15-E15)/E15)&gt;0.25,"EXPLAIN",""))</f>
        <v/>
      </c>
      <c r="H15" s="161" t="n"/>
    </row>
    <row r="16" ht="15" customHeight="1" s="90">
      <c r="B16" s="111" t="inlineStr">
        <is>
          <t>Debt service coverage ratio</t>
        </is>
      </c>
      <c r="C16" s="116" t="inlineStr">
        <is>
          <t>(PAT + Dep + Finance costs) / (Finance costs + Principal + Lease)</t>
        </is>
      </c>
      <c r="D16" s="154">
        <f>IF((Calc!$B$33+$C$9)=0,0,(Calc!$B$45+Calc!$B$34+Calc!$B$33)/(Calc!$B$33+$C$9))</f>
        <v/>
      </c>
      <c r="E16" s="176" t="n">
        <v>0</v>
      </c>
      <c r="F16" s="162">
        <f>IF(E16=0,"",(D16-E16)/ABS(E16))</f>
        <v/>
      </c>
      <c r="G16" s="177">
        <f>IF(E16=0,"",IF(ABS((D16-E16)/E16)&gt;0.25,"EXPLAIN",""))</f>
        <v/>
      </c>
      <c r="H16" s="161" t="n"/>
    </row>
    <row r="17" ht="15" customHeight="1" s="90">
      <c r="B17" s="111" t="inlineStr">
        <is>
          <t>Return on equity %</t>
        </is>
      </c>
      <c r="C17" s="116" t="inlineStr">
        <is>
          <t>(PAT - Pref dividend) / Average shareholders funds</t>
        </is>
      </c>
      <c r="D17" s="162">
        <f>IF((IF($C$8=0,(-Calc!$B$2-Calc!$B$3+Calc!$B$45),((-Calc!$B$2-Calc!$B$3+Calc!$B$45)+$C$8)/2))=0,0,(Calc!$B$45-Setup!C24)/(IF($C$8=0,(-Calc!$B$2-Calc!$B$3+Calc!$B$45),((-Calc!$B$2-Calc!$B$3+Calc!$B$45)+$C$8)/2)))</f>
        <v/>
      </c>
      <c r="E17" s="178" t="n">
        <v>0</v>
      </c>
      <c r="F17" s="162">
        <f>IF(E17=0,"",(D17-E17)/ABS(E17))</f>
        <v/>
      </c>
      <c r="G17" s="177">
        <f>IF(E17=0,"",IF(ABS((D17-E17)/E17)&gt;0.25,"EXPLAIN",""))</f>
        <v/>
      </c>
      <c r="H17" s="161" t="n"/>
    </row>
    <row r="18" ht="15" customHeight="1" s="90">
      <c r="B18" s="111" t="inlineStr">
        <is>
          <t>Inventory turnover</t>
        </is>
      </c>
      <c r="C18" s="116" t="inlineStr">
        <is>
          <t>Cost of goods sold / Average inventory</t>
        </is>
      </c>
      <c r="D18" s="154">
        <f>IF((IF($C$5=0,Calc!$B$22,(Calc!$B$22+$C$5)/2))=0,0,(Calc!$B$29+Calc!$B$30+Calc!$B$31)/(IF($C$5=0,Calc!$B$22,(Calc!$B$22+$C$5)/2)))</f>
        <v/>
      </c>
      <c r="E18" s="176" t="n">
        <v>0</v>
      </c>
      <c r="F18" s="162">
        <f>IF(E18=0,"",(D18-E18)/ABS(E18))</f>
        <v/>
      </c>
      <c r="G18" s="177">
        <f>IF(E18=0,"",IF(ABS((D18-E18)/E18)&gt;0.25,"EXPLAIN",""))</f>
        <v/>
      </c>
      <c r="H18" s="161" t="n"/>
    </row>
    <row r="19" ht="15" customHeight="1" s="90">
      <c r="B19" s="111" t="inlineStr">
        <is>
          <t>Trade receivables turnover</t>
        </is>
      </c>
      <c r="C19" s="116" t="inlineStr">
        <is>
          <t>Revenue / Average trade receivables</t>
        </is>
      </c>
      <c r="D19" s="154">
        <f>IF((IF($C$6=0,Calc!$B$23,(Calc!$B$23+$C$6)/2))=0,0,(-Calc!$B$27)/(IF($C$6=0,Calc!$B$23,(Calc!$B$23+$C$6)/2)))</f>
        <v/>
      </c>
      <c r="E19" s="176" t="n">
        <v>0</v>
      </c>
      <c r="F19" s="162">
        <f>IF(E19=0,"",(D19-E19)/ABS(E19))</f>
        <v/>
      </c>
      <c r="G19" s="177">
        <f>IF(E19=0,"",IF(ABS((D19-E19)/E19)&gt;0.25,"EXPLAIN",""))</f>
        <v/>
      </c>
      <c r="H19" s="161" t="n"/>
    </row>
    <row r="20" ht="15" customHeight="1" s="90">
      <c r="B20" s="111" t="inlineStr">
        <is>
          <t>Trade payables turnover</t>
        </is>
      </c>
      <c r="C20" s="116" t="inlineStr">
        <is>
          <t>Purchases / Average trade payables</t>
        </is>
      </c>
      <c r="D20" s="154">
        <f>IF((IF($C$7=0,(-Calc!$B$9-Calc!$B$10),((-Calc!$B$9-Calc!$B$10)+$C$7)/2))=0,0,(Calc!$B$29+Calc!$B$30)/(IF($C$7=0,(-Calc!$B$9-Calc!$B$10),((-Calc!$B$9-Calc!$B$10)+$C$7)/2)))</f>
        <v/>
      </c>
      <c r="E20" s="176" t="n">
        <v>0</v>
      </c>
      <c r="F20" s="162">
        <f>IF(E20=0,"",(D20-E20)/ABS(E20))</f>
        <v/>
      </c>
      <c r="G20" s="177">
        <f>IF(E20=0,"",IF(ABS((D20-E20)/E20)&gt;0.25,"EXPLAIN",""))</f>
        <v/>
      </c>
      <c r="H20" s="161" t="n"/>
    </row>
    <row r="21" ht="15" customHeight="1" s="90">
      <c r="B21" s="111" t="inlineStr">
        <is>
          <t>Net capital turnover</t>
        </is>
      </c>
      <c r="C21" s="116" t="inlineStr">
        <is>
          <t>Revenue / Working capital</t>
        </is>
      </c>
      <c r="D21" s="154">
        <f>IF(((Calc!$B$21+Calc!$B$22+Calc!$B$23+Calc!$B$24+Calc!$B$25+Calc!$B$26)-(-Calc!$B$8+Borrowings!$J$18-Calc!$B$9-Calc!$B$10-Calc!$B$11-Calc!$B$12))=0,0,(-Calc!$B$27)/((Calc!$B$21+Calc!$B$22+Calc!$B$23+Calc!$B$24+Calc!$B$25+Calc!$B$26)-(-Calc!$B$8+Borrowings!$J$18-Calc!$B$9-Calc!$B$10-Calc!$B$11-Calc!$B$12)))</f>
        <v/>
      </c>
      <c r="E21" s="176" t="n">
        <v>0</v>
      </c>
      <c r="F21" s="162">
        <f>IF(E21=0,"",(D21-E21)/ABS(E21))</f>
        <v/>
      </c>
      <c r="G21" s="177">
        <f>IF(E21=0,"",IF(ABS((D21-E21)/E21)&gt;0.25,"EXPLAIN",""))</f>
        <v/>
      </c>
      <c r="H21" s="161" t="n"/>
    </row>
    <row r="22" ht="15" customHeight="1" s="90">
      <c r="B22" s="111" t="inlineStr">
        <is>
          <t>Net profit ratio %</t>
        </is>
      </c>
      <c r="C22" s="116" t="inlineStr">
        <is>
          <t>PAT / Revenue</t>
        </is>
      </c>
      <c r="D22" s="162">
        <f>IF((-Calc!$B$27)=0,0,Calc!$B$45/(-Calc!$B$27))</f>
        <v/>
      </c>
      <c r="E22" s="178" t="n">
        <v>0</v>
      </c>
      <c r="F22" s="162">
        <f>IF(E22=0,"",(D22-E22)/ABS(E22))</f>
        <v/>
      </c>
      <c r="G22" s="177">
        <f>IF(E22=0,"",IF(ABS((D22-E22)/E22)&gt;0.25,"EXPLAIN",""))</f>
        <v/>
      </c>
      <c r="H22" s="161" t="n"/>
    </row>
    <row r="23" ht="15" customHeight="1" s="90">
      <c r="B23" s="111" t="inlineStr">
        <is>
          <t>Return on capital employed %</t>
        </is>
      </c>
      <c r="C23" s="116" t="inlineStr">
        <is>
          <t>EBIT / (Equity + Debt + DTL - Intangibles)</t>
        </is>
      </c>
      <c r="D23" s="162">
        <f>IF(((-Calc!$B$2-Calc!$B$3+Calc!$B$45)+(-Calc!$B$4-Calc!$B$8)-Calc!$B$5-Calc!$B$14)=0,0,((Calc!$B$45+Calc!$B$37+Calc!$B$38)+Calc!$B$33)/((-Calc!$B$2-Calc!$B$3+Calc!$B$45)+(-Calc!$B$4-Calc!$B$8)+(-Calc!$B$5)-Calc!$B$14))</f>
        <v/>
      </c>
      <c r="E23" s="178" t="n">
        <v>0</v>
      </c>
      <c r="F23" s="162">
        <f>IF(E23=0,"",(D23-E23)/ABS(E23))</f>
        <v/>
      </c>
      <c r="G23" s="177">
        <f>IF(E23=0,"",IF(ABS((D23-E23)/E23)&gt;0.25,"EXPLAIN",""))</f>
        <v/>
      </c>
      <c r="H23" s="161" t="n"/>
    </row>
    <row r="24" ht="15" customHeight="1" s="90">
      <c r="B24" s="111" t="inlineStr">
        <is>
          <t>Return on investment %</t>
        </is>
      </c>
      <c r="C24" s="116" t="inlineStr">
        <is>
          <t>Income from investments / Investments</t>
        </is>
      </c>
      <c r="D24" s="162">
        <f>IF((Calc!$B$17+Calc!$B$21)=0,0,$C$10/(Calc!$B$17+Calc!$B$21))</f>
        <v/>
      </c>
      <c r="E24" s="178" t="n">
        <v>0</v>
      </c>
      <c r="F24" s="162">
        <f>IF(E24=0,"",(D24-E24)/ABS(E24))</f>
        <v/>
      </c>
      <c r="G24" s="177">
        <f>IF(E24=0,"",IF(ABS((D24-E24)/E24)&gt;0.25,"EXPLAIN",""))</f>
        <v/>
      </c>
      <c r="H24" s="161" t="n"/>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2026-07-23T14:23:56Z</dcterms:created>
  <dcterms:modified xmlns:dcterms="http://purl.org/dc/terms/" xmlns:xsi="http://www.w3.org/2001/XMLSchema-instance" xsi:type="dcterms:W3CDTF">2026-07-26T10:36:55Z</dcterms:modified>
  <cp:revision>0</cp:revision>
</cp:coreProperties>
</file>